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hidePivotFieldList="1" defaultThemeVersion="166925"/>
  <xr:revisionPtr revIDLastSave="0" documentId="8_{8561DF8F-E8D8-4A89-BF10-477840F3DA7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5" sheetId="6" r:id="rId1"/>
    <sheet name="Sheet1" sheetId="2" r:id="rId2"/>
    <sheet name="Sheet2" sheetId="3" r:id="rId3"/>
    <sheet name="Sheet3" sheetId="4" r:id="rId4"/>
  </sheets>
  <definedNames>
    <definedName name="Slicer_Date">#N/A</definedName>
    <definedName name="Slicer_Region">#N/A</definedName>
  </definedNames>
  <calcPr calcId="191028"/>
  <pivotCaches>
    <pivotCache cacheId="2324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5" i="2" l="1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3" i="2"/>
  <c r="L4" i="2"/>
  <c r="L5" i="2"/>
  <c r="L6" i="2"/>
  <c r="L7" i="2"/>
  <c r="L8" i="2"/>
  <c r="L9" i="2"/>
  <c r="L10" i="2"/>
  <c r="L11" i="2"/>
  <c r="L12" i="2"/>
  <c r="L13" i="2"/>
  <c r="L14" i="2"/>
  <c r="L2" i="2"/>
  <c r="I176" i="2"/>
  <c r="I194" i="2"/>
  <c r="I186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7" i="2"/>
  <c r="I178" i="2"/>
  <c r="I179" i="2"/>
  <c r="I180" i="2"/>
  <c r="I181" i="2"/>
  <c r="I182" i="2"/>
  <c r="I183" i="2"/>
  <c r="I184" i="2"/>
  <c r="I185" i="2"/>
  <c r="I187" i="2"/>
  <c r="I188" i="2"/>
  <c r="I189" i="2"/>
  <c r="I190" i="2"/>
  <c r="I191" i="2"/>
  <c r="I192" i="2"/>
  <c r="I193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H2" i="2"/>
  <c r="G2" i="2"/>
</calcChain>
</file>

<file path=xl/sharedStrings.xml><?xml version="1.0" encoding="utf-8"?>
<sst xmlns="http://schemas.openxmlformats.org/spreadsheetml/2006/main" count="1256" uniqueCount="60">
  <si>
    <t>Region</t>
  </si>
  <si>
    <t>Store_Name</t>
  </si>
  <si>
    <t>Sum of Profit</t>
  </si>
  <si>
    <t>Count of Store_ID</t>
  </si>
  <si>
    <t>Average of Profit_Margin</t>
  </si>
  <si>
    <t>Sum of Revenue</t>
  </si>
  <si>
    <t>Date</t>
  </si>
  <si>
    <t>East</t>
  </si>
  <si>
    <t>FM_Kol</t>
  </si>
  <si>
    <t>Category</t>
  </si>
  <si>
    <t>Grand Total</t>
  </si>
  <si>
    <t>East Total</t>
  </si>
  <si>
    <t>Clothing</t>
  </si>
  <si>
    <t>North</t>
  </si>
  <si>
    <t>FM_Del</t>
  </si>
  <si>
    <t>Footwear</t>
  </si>
  <si>
    <t>FM_Jaipur</t>
  </si>
  <si>
    <t>North Total</t>
  </si>
  <si>
    <t>South</t>
  </si>
  <si>
    <t>FM_Blr</t>
  </si>
  <si>
    <t>FM_Chennai</t>
  </si>
  <si>
    <t>FM_Hyd</t>
  </si>
  <si>
    <t>South Total</t>
  </si>
  <si>
    <t>West</t>
  </si>
  <si>
    <t>FM_Mum</t>
  </si>
  <si>
    <t>FM_Pune</t>
  </si>
  <si>
    <t>West Total</t>
  </si>
  <si>
    <t>Store_ID</t>
  </si>
  <si>
    <t>Product_ID</t>
  </si>
  <si>
    <t>Units_Sold</t>
  </si>
  <si>
    <t>Revenue</t>
  </si>
  <si>
    <t>Profit</t>
  </si>
  <si>
    <t>Product_Name</t>
  </si>
  <si>
    <t>City</t>
  </si>
  <si>
    <t>Profit_Margin</t>
  </si>
  <si>
    <t>Banglore</t>
  </si>
  <si>
    <t>Mumbai</t>
  </si>
  <si>
    <t>Pune</t>
  </si>
  <si>
    <t>Jaipur</t>
  </si>
  <si>
    <t>Kolkata</t>
  </si>
  <si>
    <t>Hyderabad</t>
  </si>
  <si>
    <t>Delhi</t>
  </si>
  <si>
    <t>Brand</t>
  </si>
  <si>
    <t>T-Shirt</t>
  </si>
  <si>
    <t>Nike</t>
  </si>
  <si>
    <t>Jeans</t>
  </si>
  <si>
    <t>Levis</t>
  </si>
  <si>
    <t>Shoes</t>
  </si>
  <si>
    <t>Adidas</t>
  </si>
  <si>
    <t>Jacket</t>
  </si>
  <si>
    <t>Puma</t>
  </si>
  <si>
    <t>Sandals</t>
  </si>
  <si>
    <t>Bata</t>
  </si>
  <si>
    <t>Shirt</t>
  </si>
  <si>
    <t>Zara</t>
  </si>
  <si>
    <t>Sneakers</t>
  </si>
  <si>
    <t>Hoodie</t>
  </si>
  <si>
    <t>H&amp;M</t>
  </si>
  <si>
    <t>Bangalore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</si>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</sst>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133350</xdr:colOff>
      <xdr:row>4</xdr:row>
      <xdr:rowOff>28575</xdr:rowOff>
    </xdr:from>
    <xdr:to>
      <xdr:col>4</xdr:col>
      <xdr:colOff>9525</xdr:colOff>
      <xdr:row>18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Date">
              <a:extLst>
                <a:ext uri="{FF2B5EF4-FFF2-40B4-BE49-F238E27FC236}">
                  <a16:creationId xmlns:a16="http://schemas.microsoft.com/office/drawing/2014/main" id="{6891B5F9-CF52-1EAB-244A-AC05451717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0" y="7905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152400</xdr:colOff>
      <xdr:row>4</xdr:row>
      <xdr:rowOff>38100</xdr:rowOff>
    </xdr:from>
    <xdr:to>
      <xdr:col>5</xdr:col>
      <xdr:colOff>419100</xdr:colOff>
      <xdr:row>18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Region">
              <a:extLst>
                <a:ext uri="{FF2B5EF4-FFF2-40B4-BE49-F238E27FC236}">
                  <a16:creationId xmlns:a16="http://schemas.microsoft.com/office/drawing/2014/main" id="{85C71ADF-E277-8143-7443-6E67277156CA}"/>
                </a:ext>
                <a:ext uri="{147F2762-F138-4A5C-976F-8EAC2B608ADB}">
                  <a16:predDERef xmlns:a16="http://schemas.microsoft.com/office/drawing/2014/main" pred="{6891B5F9-CF52-1EAB-244A-AC05451717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76675" y="8001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5</xdr:col>
      <xdr:colOff>390525</xdr:colOff>
      <xdr:row>25</xdr:row>
      <xdr:rowOff>19050</xdr:rowOff>
    </xdr:from>
    <xdr:to>
      <xdr:col>14</xdr:col>
      <xdr:colOff>200025</xdr:colOff>
      <xdr:row>35</xdr:row>
      <xdr:rowOff>28575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211D63C-6BB0-F444-AC6B-7A330BF96503}"/>
            </a:ext>
            <a:ext uri="{147F2762-F138-4A5C-976F-8EAC2B608ADB}">
              <a16:predDERef xmlns:a16="http://schemas.microsoft.com/office/drawing/2014/main" pred="{85C71ADF-E277-8143-7443-6E67277156CA}"/>
            </a:ext>
          </a:extLst>
        </xdr:cNvPr>
        <xdr:cNvSpPr txBox="1"/>
      </xdr:nvSpPr>
      <xdr:spPr>
        <a:xfrm>
          <a:off x="5676900" y="4781550"/>
          <a:ext cx="5295900" cy="1914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📊 Key Insights: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1. Clothing category consistently drives the highest revenue across all months, indicating strong and stable demand in apparel products.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2. South region stores (Hyderabad and Bangalore) consistently outperform other regions in profit contribution.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3. Profit margins remain stable across stores, suggesting consistent pricing and cost control strategies.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7.876221064813" createdVersion="8" refreshedVersion="8" minRefreshableVersion="3" recordCount="200" xr:uid="{9AE94013-A266-4FDD-87A6-E5A0ABB574CF}">
  <cacheSource type="worksheet">
    <worksheetSource ref="A1:L201" sheet="Sheet1"/>
  </cacheSource>
  <cacheFields count="12">
    <cacheField name="Store_ID" numFmtId="0">
      <sharedItems containsSemiMixedTypes="0" containsString="0" containsNumber="1" containsInteger="1" minValue="1" maxValue="200"/>
    </cacheField>
    <cacheField name="Date" numFmtId="14">
      <sharedItems containsSemiMixedTypes="0" containsNonDate="0" containsDate="1" containsString="0" minDate="2026-01-01T00:00:00" maxDate="2026-10-02T00:00:00" count="10"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</sharedItems>
    </cacheField>
    <cacheField name="Product_ID" numFmtId="0">
      <sharedItems containsSemiMixedTypes="0" containsString="0" containsNumber="1" containsInteger="1" minValue="101" maxValue="108"/>
    </cacheField>
    <cacheField name="Units_Sold" numFmtId="0">
      <sharedItems containsSemiMixedTypes="0" containsString="0" containsNumber="1" containsInteger="1" minValue="2" maxValue="6"/>
    </cacheField>
    <cacheField name="Revenue" numFmtId="0">
      <sharedItems containsSemiMixedTypes="0" containsString="0" containsNumber="1" containsInteger="1" minValue="4000" maxValue="9000"/>
    </cacheField>
    <cacheField name="Profit" numFmtId="0">
      <sharedItems containsSemiMixedTypes="0" containsString="0" containsNumber="1" containsInteger="1" minValue="800" maxValue="1800"/>
    </cacheField>
    <cacheField name="Product_Name" numFmtId="0">
      <sharedItems/>
    </cacheField>
    <cacheField name="Category" numFmtId="0">
      <sharedItems count="2">
        <s v="Clothing"/>
        <s v="Footwear"/>
      </sharedItems>
    </cacheField>
    <cacheField name="City" numFmtId="0">
      <sharedItems/>
    </cacheField>
    <cacheField name="Region" numFmtId="0">
      <sharedItems count="4">
        <s v="South"/>
        <s v="West"/>
        <s v="North"/>
        <s v="East"/>
      </sharedItems>
    </cacheField>
    <cacheField name="Store_Name" numFmtId="0">
      <sharedItems count="8">
        <s v="FM_Hyd"/>
        <s v="FM_Blr"/>
        <s v="FM_Mum"/>
        <s v="FM_Pune"/>
        <s v="FM_Del"/>
        <s v="FM_Jaipur"/>
        <s v="FM_Kol"/>
        <s v="FM_Chennai"/>
      </sharedItems>
    </cacheField>
    <cacheField name="Profit_Margin" numFmtId="10">
      <sharedItems containsSemiMixedTypes="0" containsString="0" containsNumber="1" minValue="0.2" maxValue="0.2"/>
    </cacheField>
  </cacheFields>
  <extLst>
    <ext xmlns:x14="http://schemas.microsoft.com/office/spreadsheetml/2009/9/main" uri="{725AE2AE-9491-48be-B2B4-4EB974FC3084}">
      <x14:pivotCacheDefinition pivotCacheId="10119689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x v="0"/>
    <n v="101"/>
    <n v="5"/>
    <n v="5000"/>
    <n v="1000"/>
    <s v="T-Shirt"/>
    <x v="0"/>
    <s v="Hyderabad"/>
    <x v="0"/>
    <x v="0"/>
    <n v="0.2"/>
  </r>
  <r>
    <n v="2"/>
    <x v="1"/>
    <n v="102"/>
    <n v="3"/>
    <n v="6000"/>
    <n v="1200"/>
    <s v="Jeans"/>
    <x v="0"/>
    <s v="Hyderabad"/>
    <x v="0"/>
    <x v="1"/>
    <n v="0.2"/>
  </r>
  <r>
    <n v="3"/>
    <x v="2"/>
    <n v="103"/>
    <n v="4"/>
    <n v="8000"/>
    <n v="1600"/>
    <s v="Shoes"/>
    <x v="1"/>
    <s v="Bangalore"/>
    <x v="1"/>
    <x v="2"/>
    <n v="0.2"/>
  </r>
  <r>
    <n v="4"/>
    <x v="3"/>
    <n v="104"/>
    <n v="2"/>
    <n v="4000"/>
    <n v="800"/>
    <s v="Jacket"/>
    <x v="0"/>
    <s v="Mumbai"/>
    <x v="1"/>
    <x v="3"/>
    <n v="0.2"/>
  </r>
  <r>
    <n v="5"/>
    <x v="4"/>
    <n v="105"/>
    <n v="6"/>
    <n v="9000"/>
    <n v="1800"/>
    <s v="Sandals"/>
    <x v="1"/>
    <s v="Pune"/>
    <x v="2"/>
    <x v="4"/>
    <n v="0.2"/>
  </r>
  <r>
    <n v="6"/>
    <x v="5"/>
    <n v="106"/>
    <n v="5"/>
    <n v="7500"/>
    <n v="1500"/>
    <s v="Shirt"/>
    <x v="0"/>
    <s v="Delhi"/>
    <x v="2"/>
    <x v="5"/>
    <n v="0.2"/>
  </r>
  <r>
    <n v="7"/>
    <x v="6"/>
    <n v="107"/>
    <n v="3"/>
    <n v="6000"/>
    <n v="1200"/>
    <s v="Sneakers"/>
    <x v="1"/>
    <s v="Jaipur"/>
    <x v="3"/>
    <x v="6"/>
    <n v="0.2"/>
  </r>
  <r>
    <n v="8"/>
    <x v="7"/>
    <n v="108"/>
    <n v="4"/>
    <n v="7000"/>
    <n v="1400"/>
    <s v="Hoodie"/>
    <x v="0"/>
    <s v="Kolkata"/>
    <x v="0"/>
    <x v="7"/>
    <n v="0.2"/>
  </r>
  <r>
    <n v="9"/>
    <x v="8"/>
    <n v="101"/>
    <n v="6"/>
    <n v="6000"/>
    <n v="1200"/>
    <s v="T-Shirt"/>
    <x v="0"/>
    <s v="Chennai"/>
    <x v="0"/>
    <x v="0"/>
    <n v="0.2"/>
  </r>
  <r>
    <n v="10"/>
    <x v="9"/>
    <n v="102"/>
    <n v="4"/>
    <n v="8000"/>
    <n v="1600"/>
    <s v="Jeans"/>
    <x v="0"/>
    <s v="Hyderabad"/>
    <x v="0"/>
    <x v="1"/>
    <n v="0.2"/>
  </r>
  <r>
    <n v="11"/>
    <x v="0"/>
    <n v="101"/>
    <n v="5"/>
    <n v="5000"/>
    <n v="1000"/>
    <s v="T-Shirt"/>
    <x v="0"/>
    <s v="Bangalore"/>
    <x v="1"/>
    <x v="2"/>
    <n v="0.2"/>
  </r>
  <r>
    <n v="12"/>
    <x v="1"/>
    <n v="102"/>
    <n v="3"/>
    <n v="6000"/>
    <n v="1200"/>
    <s v="Jeans"/>
    <x v="0"/>
    <s v="Mumbai"/>
    <x v="1"/>
    <x v="3"/>
    <n v="0.2"/>
  </r>
  <r>
    <n v="13"/>
    <x v="2"/>
    <n v="103"/>
    <n v="4"/>
    <n v="8000"/>
    <n v="1600"/>
    <s v="Shoes"/>
    <x v="1"/>
    <s v="Pune"/>
    <x v="2"/>
    <x v="4"/>
    <n v="0.2"/>
  </r>
  <r>
    <n v="14"/>
    <x v="3"/>
    <n v="104"/>
    <n v="2"/>
    <n v="4000"/>
    <n v="800"/>
    <s v="Jacket"/>
    <x v="0"/>
    <s v="Delhi"/>
    <x v="2"/>
    <x v="5"/>
    <n v="0.2"/>
  </r>
  <r>
    <n v="15"/>
    <x v="4"/>
    <n v="105"/>
    <n v="6"/>
    <n v="9000"/>
    <n v="1800"/>
    <s v="Sandals"/>
    <x v="1"/>
    <s v="Jaipur"/>
    <x v="3"/>
    <x v="6"/>
    <n v="0.2"/>
  </r>
  <r>
    <n v="16"/>
    <x v="5"/>
    <n v="106"/>
    <n v="5"/>
    <n v="7500"/>
    <n v="1500"/>
    <s v="Shirt"/>
    <x v="0"/>
    <s v="Kolkata"/>
    <x v="0"/>
    <x v="7"/>
    <n v="0.2"/>
  </r>
  <r>
    <n v="17"/>
    <x v="6"/>
    <n v="107"/>
    <n v="3"/>
    <n v="6000"/>
    <n v="1200"/>
    <s v="Sneakers"/>
    <x v="1"/>
    <s v="Chennai"/>
    <x v="0"/>
    <x v="0"/>
    <n v="0.2"/>
  </r>
  <r>
    <n v="18"/>
    <x v="7"/>
    <n v="108"/>
    <n v="4"/>
    <n v="7000"/>
    <n v="1400"/>
    <s v="Hoodie"/>
    <x v="0"/>
    <s v="Hyderabad"/>
    <x v="0"/>
    <x v="1"/>
    <n v="0.2"/>
  </r>
  <r>
    <n v="19"/>
    <x v="8"/>
    <n v="101"/>
    <n v="6"/>
    <n v="6000"/>
    <n v="1200"/>
    <s v="T-Shirt"/>
    <x v="0"/>
    <s v="Bangalore"/>
    <x v="1"/>
    <x v="2"/>
    <n v="0.2"/>
  </r>
  <r>
    <n v="20"/>
    <x v="9"/>
    <n v="102"/>
    <n v="4"/>
    <n v="8000"/>
    <n v="1600"/>
    <s v="Jeans"/>
    <x v="0"/>
    <s v="Mumbai"/>
    <x v="1"/>
    <x v="3"/>
    <n v="0.2"/>
  </r>
  <r>
    <n v="21"/>
    <x v="0"/>
    <n v="101"/>
    <n v="5"/>
    <n v="5000"/>
    <n v="1000"/>
    <s v="T-Shirt"/>
    <x v="0"/>
    <s v="Pune"/>
    <x v="2"/>
    <x v="4"/>
    <n v="0.2"/>
  </r>
  <r>
    <n v="22"/>
    <x v="1"/>
    <n v="102"/>
    <n v="3"/>
    <n v="6000"/>
    <n v="1200"/>
    <s v="Jeans"/>
    <x v="0"/>
    <s v="Delhi"/>
    <x v="2"/>
    <x v="5"/>
    <n v="0.2"/>
  </r>
  <r>
    <n v="23"/>
    <x v="2"/>
    <n v="103"/>
    <n v="4"/>
    <n v="8000"/>
    <n v="1600"/>
    <s v="Shoes"/>
    <x v="1"/>
    <s v="Jaipur"/>
    <x v="3"/>
    <x v="6"/>
    <n v="0.2"/>
  </r>
  <r>
    <n v="24"/>
    <x v="3"/>
    <n v="104"/>
    <n v="2"/>
    <n v="4000"/>
    <n v="800"/>
    <s v="Jacket"/>
    <x v="0"/>
    <s v="Kolkata"/>
    <x v="0"/>
    <x v="7"/>
    <n v="0.2"/>
  </r>
  <r>
    <n v="25"/>
    <x v="4"/>
    <n v="105"/>
    <n v="6"/>
    <n v="9000"/>
    <n v="1800"/>
    <s v="Sandals"/>
    <x v="1"/>
    <s v="Chennai"/>
    <x v="0"/>
    <x v="0"/>
    <n v="0.2"/>
  </r>
  <r>
    <n v="26"/>
    <x v="5"/>
    <n v="106"/>
    <n v="5"/>
    <n v="7500"/>
    <n v="1500"/>
    <s v="Shirt"/>
    <x v="0"/>
    <s v="Hyderabad"/>
    <x v="0"/>
    <x v="1"/>
    <n v="0.2"/>
  </r>
  <r>
    <n v="27"/>
    <x v="6"/>
    <n v="107"/>
    <n v="3"/>
    <n v="6000"/>
    <n v="1200"/>
    <s v="Sneakers"/>
    <x v="1"/>
    <s v="Bangalore"/>
    <x v="1"/>
    <x v="2"/>
    <n v="0.2"/>
  </r>
  <r>
    <n v="28"/>
    <x v="7"/>
    <n v="108"/>
    <n v="4"/>
    <n v="7000"/>
    <n v="1400"/>
    <s v="Hoodie"/>
    <x v="0"/>
    <s v="Mumbai"/>
    <x v="1"/>
    <x v="3"/>
    <n v="0.2"/>
  </r>
  <r>
    <n v="29"/>
    <x v="8"/>
    <n v="101"/>
    <n v="6"/>
    <n v="6000"/>
    <n v="1200"/>
    <s v="T-Shirt"/>
    <x v="0"/>
    <s v="Pune"/>
    <x v="2"/>
    <x v="4"/>
    <n v="0.2"/>
  </r>
  <r>
    <n v="30"/>
    <x v="9"/>
    <n v="102"/>
    <n v="4"/>
    <n v="8000"/>
    <n v="1600"/>
    <s v="Jeans"/>
    <x v="0"/>
    <s v="Delhi"/>
    <x v="2"/>
    <x v="5"/>
    <n v="0.2"/>
  </r>
  <r>
    <n v="31"/>
    <x v="0"/>
    <n v="101"/>
    <n v="5"/>
    <n v="5000"/>
    <n v="1000"/>
    <s v="T-Shirt"/>
    <x v="0"/>
    <s v="Jaipur"/>
    <x v="3"/>
    <x v="6"/>
    <n v="0.2"/>
  </r>
  <r>
    <n v="32"/>
    <x v="1"/>
    <n v="102"/>
    <n v="3"/>
    <n v="6000"/>
    <n v="1200"/>
    <s v="Jeans"/>
    <x v="0"/>
    <s v="Kolkata"/>
    <x v="0"/>
    <x v="7"/>
    <n v="0.2"/>
  </r>
  <r>
    <n v="33"/>
    <x v="2"/>
    <n v="103"/>
    <n v="4"/>
    <n v="8000"/>
    <n v="1600"/>
    <s v="Shoes"/>
    <x v="1"/>
    <s v="Chennai"/>
    <x v="0"/>
    <x v="0"/>
    <n v="0.2"/>
  </r>
  <r>
    <n v="34"/>
    <x v="3"/>
    <n v="104"/>
    <n v="2"/>
    <n v="4000"/>
    <n v="800"/>
    <s v="Jacket"/>
    <x v="0"/>
    <s v="Hyderabad"/>
    <x v="0"/>
    <x v="1"/>
    <n v="0.2"/>
  </r>
  <r>
    <n v="35"/>
    <x v="4"/>
    <n v="105"/>
    <n v="6"/>
    <n v="9000"/>
    <n v="1800"/>
    <s v="Sandals"/>
    <x v="1"/>
    <s v="Bangalore"/>
    <x v="1"/>
    <x v="2"/>
    <n v="0.2"/>
  </r>
  <r>
    <n v="36"/>
    <x v="5"/>
    <n v="106"/>
    <n v="5"/>
    <n v="7500"/>
    <n v="1500"/>
    <s v="Shirt"/>
    <x v="0"/>
    <s v="Mumbai"/>
    <x v="1"/>
    <x v="3"/>
    <n v="0.2"/>
  </r>
  <r>
    <n v="37"/>
    <x v="6"/>
    <n v="107"/>
    <n v="3"/>
    <n v="6000"/>
    <n v="1200"/>
    <s v="Sneakers"/>
    <x v="1"/>
    <s v="Pune"/>
    <x v="2"/>
    <x v="4"/>
    <n v="0.2"/>
  </r>
  <r>
    <n v="38"/>
    <x v="7"/>
    <n v="108"/>
    <n v="4"/>
    <n v="7000"/>
    <n v="1400"/>
    <s v="Hoodie"/>
    <x v="0"/>
    <s v="Delhi"/>
    <x v="2"/>
    <x v="5"/>
    <n v="0.2"/>
  </r>
  <r>
    <n v="39"/>
    <x v="8"/>
    <n v="101"/>
    <n v="6"/>
    <n v="6000"/>
    <n v="1200"/>
    <s v="T-Shirt"/>
    <x v="0"/>
    <s v="Jaipur"/>
    <x v="3"/>
    <x v="6"/>
    <n v="0.2"/>
  </r>
  <r>
    <n v="40"/>
    <x v="9"/>
    <n v="102"/>
    <n v="4"/>
    <n v="8000"/>
    <n v="1600"/>
    <s v="Jeans"/>
    <x v="0"/>
    <s v="Kolkata"/>
    <x v="0"/>
    <x v="7"/>
    <n v="0.2"/>
  </r>
  <r>
    <n v="41"/>
    <x v="0"/>
    <n v="101"/>
    <n v="5"/>
    <n v="5000"/>
    <n v="1000"/>
    <s v="T-Shirt"/>
    <x v="0"/>
    <s v="Chennai"/>
    <x v="0"/>
    <x v="0"/>
    <n v="0.2"/>
  </r>
  <r>
    <n v="42"/>
    <x v="1"/>
    <n v="102"/>
    <n v="3"/>
    <n v="6000"/>
    <n v="1200"/>
    <s v="Jeans"/>
    <x v="0"/>
    <s v="Hyderabad"/>
    <x v="0"/>
    <x v="1"/>
    <n v="0.2"/>
  </r>
  <r>
    <n v="43"/>
    <x v="2"/>
    <n v="103"/>
    <n v="4"/>
    <n v="8000"/>
    <n v="1600"/>
    <s v="Shoes"/>
    <x v="1"/>
    <s v="Bangalore"/>
    <x v="1"/>
    <x v="2"/>
    <n v="0.2"/>
  </r>
  <r>
    <n v="44"/>
    <x v="3"/>
    <n v="104"/>
    <n v="2"/>
    <n v="4000"/>
    <n v="800"/>
    <s v="Jacket"/>
    <x v="0"/>
    <s v="Mumbai"/>
    <x v="1"/>
    <x v="3"/>
    <n v="0.2"/>
  </r>
  <r>
    <n v="45"/>
    <x v="4"/>
    <n v="105"/>
    <n v="6"/>
    <n v="9000"/>
    <n v="1800"/>
    <s v="Sandals"/>
    <x v="1"/>
    <s v="Pune"/>
    <x v="2"/>
    <x v="4"/>
    <n v="0.2"/>
  </r>
  <r>
    <n v="46"/>
    <x v="5"/>
    <n v="106"/>
    <n v="5"/>
    <n v="7500"/>
    <n v="1500"/>
    <s v="Shirt"/>
    <x v="0"/>
    <s v="Delhi"/>
    <x v="2"/>
    <x v="5"/>
    <n v="0.2"/>
  </r>
  <r>
    <n v="47"/>
    <x v="6"/>
    <n v="107"/>
    <n v="3"/>
    <n v="6000"/>
    <n v="1200"/>
    <s v="Sneakers"/>
    <x v="1"/>
    <s v="Jaipur"/>
    <x v="3"/>
    <x v="6"/>
    <n v="0.2"/>
  </r>
  <r>
    <n v="48"/>
    <x v="7"/>
    <n v="108"/>
    <n v="4"/>
    <n v="7000"/>
    <n v="1400"/>
    <s v="Hoodie"/>
    <x v="0"/>
    <s v="Kolkata"/>
    <x v="0"/>
    <x v="7"/>
    <n v="0.2"/>
  </r>
  <r>
    <n v="49"/>
    <x v="8"/>
    <n v="101"/>
    <n v="6"/>
    <n v="6000"/>
    <n v="1200"/>
    <s v="T-Shirt"/>
    <x v="0"/>
    <s v="Chennai"/>
    <x v="0"/>
    <x v="0"/>
    <n v="0.2"/>
  </r>
  <r>
    <n v="50"/>
    <x v="9"/>
    <n v="102"/>
    <n v="4"/>
    <n v="8000"/>
    <n v="1600"/>
    <s v="Jeans"/>
    <x v="0"/>
    <s v="Hyderabad"/>
    <x v="0"/>
    <x v="1"/>
    <n v="0.2"/>
  </r>
  <r>
    <n v="51"/>
    <x v="0"/>
    <n v="101"/>
    <n v="5"/>
    <n v="5000"/>
    <n v="1000"/>
    <s v="T-Shirt"/>
    <x v="0"/>
    <s v="Bangalore"/>
    <x v="1"/>
    <x v="2"/>
    <n v="0.2"/>
  </r>
  <r>
    <n v="52"/>
    <x v="1"/>
    <n v="102"/>
    <n v="3"/>
    <n v="6000"/>
    <n v="1200"/>
    <s v="Jeans"/>
    <x v="0"/>
    <s v="Mumbai"/>
    <x v="1"/>
    <x v="3"/>
    <n v="0.2"/>
  </r>
  <r>
    <n v="53"/>
    <x v="2"/>
    <n v="103"/>
    <n v="4"/>
    <n v="8000"/>
    <n v="1600"/>
    <s v="Shoes"/>
    <x v="1"/>
    <s v="Pune"/>
    <x v="2"/>
    <x v="4"/>
    <n v="0.2"/>
  </r>
  <r>
    <n v="54"/>
    <x v="3"/>
    <n v="104"/>
    <n v="2"/>
    <n v="4000"/>
    <n v="800"/>
    <s v="Jacket"/>
    <x v="0"/>
    <s v="Delhi"/>
    <x v="2"/>
    <x v="5"/>
    <n v="0.2"/>
  </r>
  <r>
    <n v="55"/>
    <x v="4"/>
    <n v="105"/>
    <n v="6"/>
    <n v="9000"/>
    <n v="1800"/>
    <s v="Sandals"/>
    <x v="1"/>
    <s v="Jaipur"/>
    <x v="3"/>
    <x v="6"/>
    <n v="0.2"/>
  </r>
  <r>
    <n v="56"/>
    <x v="5"/>
    <n v="106"/>
    <n v="5"/>
    <n v="7500"/>
    <n v="1500"/>
    <s v="Shirt"/>
    <x v="0"/>
    <s v="Kolkata"/>
    <x v="0"/>
    <x v="7"/>
    <n v="0.2"/>
  </r>
  <r>
    <n v="57"/>
    <x v="6"/>
    <n v="107"/>
    <n v="3"/>
    <n v="6000"/>
    <n v="1200"/>
    <s v="Sneakers"/>
    <x v="1"/>
    <s v="Chennai"/>
    <x v="0"/>
    <x v="0"/>
    <n v="0.2"/>
  </r>
  <r>
    <n v="58"/>
    <x v="7"/>
    <n v="108"/>
    <n v="4"/>
    <n v="7000"/>
    <n v="1400"/>
    <s v="Hoodie"/>
    <x v="0"/>
    <s v="Hyderabad"/>
    <x v="0"/>
    <x v="1"/>
    <n v="0.2"/>
  </r>
  <r>
    <n v="59"/>
    <x v="8"/>
    <n v="101"/>
    <n v="6"/>
    <n v="6000"/>
    <n v="1200"/>
    <s v="T-Shirt"/>
    <x v="0"/>
    <s v="Bangalore"/>
    <x v="1"/>
    <x v="2"/>
    <n v="0.2"/>
  </r>
  <r>
    <n v="60"/>
    <x v="9"/>
    <n v="102"/>
    <n v="4"/>
    <n v="8000"/>
    <n v="1600"/>
    <s v="Jeans"/>
    <x v="0"/>
    <s v="Mumbai"/>
    <x v="1"/>
    <x v="3"/>
    <n v="0.2"/>
  </r>
  <r>
    <n v="61"/>
    <x v="0"/>
    <n v="101"/>
    <n v="5"/>
    <n v="5000"/>
    <n v="1000"/>
    <s v="T-Shirt"/>
    <x v="0"/>
    <s v="Pune"/>
    <x v="2"/>
    <x v="4"/>
    <n v="0.2"/>
  </r>
  <r>
    <n v="62"/>
    <x v="1"/>
    <n v="102"/>
    <n v="3"/>
    <n v="6000"/>
    <n v="1200"/>
    <s v="Jeans"/>
    <x v="0"/>
    <s v="Delhi"/>
    <x v="2"/>
    <x v="5"/>
    <n v="0.2"/>
  </r>
  <r>
    <n v="63"/>
    <x v="2"/>
    <n v="103"/>
    <n v="4"/>
    <n v="8000"/>
    <n v="1600"/>
    <s v="Shoes"/>
    <x v="1"/>
    <s v="Jaipur"/>
    <x v="3"/>
    <x v="6"/>
    <n v="0.2"/>
  </r>
  <r>
    <n v="64"/>
    <x v="3"/>
    <n v="104"/>
    <n v="2"/>
    <n v="4000"/>
    <n v="800"/>
    <s v="Jacket"/>
    <x v="0"/>
    <s v="Kolkata"/>
    <x v="0"/>
    <x v="7"/>
    <n v="0.2"/>
  </r>
  <r>
    <n v="65"/>
    <x v="4"/>
    <n v="105"/>
    <n v="6"/>
    <n v="9000"/>
    <n v="1800"/>
    <s v="Sandals"/>
    <x v="1"/>
    <s v="Chennai"/>
    <x v="0"/>
    <x v="0"/>
    <n v="0.2"/>
  </r>
  <r>
    <n v="66"/>
    <x v="5"/>
    <n v="106"/>
    <n v="5"/>
    <n v="7500"/>
    <n v="1500"/>
    <s v="Shirt"/>
    <x v="0"/>
    <s v="Hyderabad"/>
    <x v="0"/>
    <x v="1"/>
    <n v="0.2"/>
  </r>
  <r>
    <n v="67"/>
    <x v="6"/>
    <n v="107"/>
    <n v="3"/>
    <n v="6000"/>
    <n v="1200"/>
    <s v="Sneakers"/>
    <x v="1"/>
    <s v="Bangalore"/>
    <x v="1"/>
    <x v="2"/>
    <n v="0.2"/>
  </r>
  <r>
    <n v="68"/>
    <x v="7"/>
    <n v="108"/>
    <n v="4"/>
    <n v="7000"/>
    <n v="1400"/>
    <s v="Hoodie"/>
    <x v="0"/>
    <s v="Mumbai"/>
    <x v="1"/>
    <x v="3"/>
    <n v="0.2"/>
  </r>
  <r>
    <n v="69"/>
    <x v="8"/>
    <n v="101"/>
    <n v="6"/>
    <n v="6000"/>
    <n v="1200"/>
    <s v="T-Shirt"/>
    <x v="0"/>
    <s v="Pune"/>
    <x v="2"/>
    <x v="4"/>
    <n v="0.2"/>
  </r>
  <r>
    <n v="70"/>
    <x v="9"/>
    <n v="102"/>
    <n v="4"/>
    <n v="8000"/>
    <n v="1600"/>
    <s v="Jeans"/>
    <x v="0"/>
    <s v="Delhi"/>
    <x v="2"/>
    <x v="5"/>
    <n v="0.2"/>
  </r>
  <r>
    <n v="71"/>
    <x v="0"/>
    <n v="101"/>
    <n v="5"/>
    <n v="5000"/>
    <n v="1000"/>
    <s v="T-Shirt"/>
    <x v="0"/>
    <s v="Jaipur"/>
    <x v="3"/>
    <x v="6"/>
    <n v="0.2"/>
  </r>
  <r>
    <n v="72"/>
    <x v="1"/>
    <n v="102"/>
    <n v="3"/>
    <n v="6000"/>
    <n v="1200"/>
    <s v="Jeans"/>
    <x v="0"/>
    <s v="Kolkata"/>
    <x v="0"/>
    <x v="7"/>
    <n v="0.2"/>
  </r>
  <r>
    <n v="73"/>
    <x v="2"/>
    <n v="103"/>
    <n v="4"/>
    <n v="8000"/>
    <n v="1600"/>
    <s v="Shoes"/>
    <x v="1"/>
    <s v="Chennai"/>
    <x v="0"/>
    <x v="0"/>
    <n v="0.2"/>
  </r>
  <r>
    <n v="74"/>
    <x v="3"/>
    <n v="104"/>
    <n v="2"/>
    <n v="4000"/>
    <n v="800"/>
    <s v="Jacket"/>
    <x v="0"/>
    <s v="Hyderabad"/>
    <x v="0"/>
    <x v="1"/>
    <n v="0.2"/>
  </r>
  <r>
    <n v="75"/>
    <x v="4"/>
    <n v="105"/>
    <n v="6"/>
    <n v="9000"/>
    <n v="1800"/>
    <s v="Sandals"/>
    <x v="1"/>
    <s v="Bangalore"/>
    <x v="1"/>
    <x v="2"/>
    <n v="0.2"/>
  </r>
  <r>
    <n v="76"/>
    <x v="5"/>
    <n v="106"/>
    <n v="5"/>
    <n v="7500"/>
    <n v="1500"/>
    <s v="Shirt"/>
    <x v="0"/>
    <s v="Mumbai"/>
    <x v="1"/>
    <x v="3"/>
    <n v="0.2"/>
  </r>
  <r>
    <n v="77"/>
    <x v="6"/>
    <n v="107"/>
    <n v="3"/>
    <n v="6000"/>
    <n v="1200"/>
    <s v="Sneakers"/>
    <x v="1"/>
    <s v="Pune"/>
    <x v="2"/>
    <x v="4"/>
    <n v="0.2"/>
  </r>
  <r>
    <n v="78"/>
    <x v="7"/>
    <n v="108"/>
    <n v="4"/>
    <n v="7000"/>
    <n v="1400"/>
    <s v="Hoodie"/>
    <x v="0"/>
    <s v="Delhi"/>
    <x v="2"/>
    <x v="5"/>
    <n v="0.2"/>
  </r>
  <r>
    <n v="79"/>
    <x v="8"/>
    <n v="101"/>
    <n v="6"/>
    <n v="6000"/>
    <n v="1200"/>
    <s v="T-Shirt"/>
    <x v="0"/>
    <s v="Jaipur"/>
    <x v="3"/>
    <x v="6"/>
    <n v="0.2"/>
  </r>
  <r>
    <n v="80"/>
    <x v="9"/>
    <n v="102"/>
    <n v="4"/>
    <n v="8000"/>
    <n v="1600"/>
    <s v="Jeans"/>
    <x v="0"/>
    <s v="Kolkata"/>
    <x v="0"/>
    <x v="7"/>
    <n v="0.2"/>
  </r>
  <r>
    <n v="81"/>
    <x v="0"/>
    <n v="101"/>
    <n v="5"/>
    <n v="5000"/>
    <n v="1000"/>
    <s v="T-Shirt"/>
    <x v="0"/>
    <s v="Chennai"/>
    <x v="0"/>
    <x v="0"/>
    <n v="0.2"/>
  </r>
  <r>
    <n v="82"/>
    <x v="1"/>
    <n v="102"/>
    <n v="3"/>
    <n v="6000"/>
    <n v="1200"/>
    <s v="Jeans"/>
    <x v="0"/>
    <s v="Hyderabad"/>
    <x v="0"/>
    <x v="1"/>
    <n v="0.2"/>
  </r>
  <r>
    <n v="83"/>
    <x v="2"/>
    <n v="103"/>
    <n v="4"/>
    <n v="8000"/>
    <n v="1600"/>
    <s v="Shoes"/>
    <x v="1"/>
    <s v="Bangalore"/>
    <x v="1"/>
    <x v="2"/>
    <n v="0.2"/>
  </r>
  <r>
    <n v="84"/>
    <x v="3"/>
    <n v="104"/>
    <n v="2"/>
    <n v="4000"/>
    <n v="800"/>
    <s v="Jacket"/>
    <x v="0"/>
    <s v="Mumbai"/>
    <x v="1"/>
    <x v="3"/>
    <n v="0.2"/>
  </r>
  <r>
    <n v="85"/>
    <x v="4"/>
    <n v="105"/>
    <n v="6"/>
    <n v="9000"/>
    <n v="1800"/>
    <s v="Sandals"/>
    <x v="1"/>
    <s v="Pune"/>
    <x v="2"/>
    <x v="4"/>
    <n v="0.2"/>
  </r>
  <r>
    <n v="86"/>
    <x v="5"/>
    <n v="106"/>
    <n v="5"/>
    <n v="7500"/>
    <n v="1500"/>
    <s v="Shirt"/>
    <x v="0"/>
    <s v="Delhi"/>
    <x v="2"/>
    <x v="5"/>
    <n v="0.2"/>
  </r>
  <r>
    <n v="87"/>
    <x v="6"/>
    <n v="107"/>
    <n v="3"/>
    <n v="6000"/>
    <n v="1200"/>
    <s v="Sneakers"/>
    <x v="1"/>
    <s v="Jaipur"/>
    <x v="3"/>
    <x v="6"/>
    <n v="0.2"/>
  </r>
  <r>
    <n v="88"/>
    <x v="7"/>
    <n v="108"/>
    <n v="4"/>
    <n v="7000"/>
    <n v="1400"/>
    <s v="Hoodie"/>
    <x v="0"/>
    <s v="Kolkata"/>
    <x v="0"/>
    <x v="7"/>
    <n v="0.2"/>
  </r>
  <r>
    <n v="89"/>
    <x v="8"/>
    <n v="101"/>
    <n v="6"/>
    <n v="6000"/>
    <n v="1200"/>
    <s v="T-Shirt"/>
    <x v="0"/>
    <s v="Chennai"/>
    <x v="0"/>
    <x v="0"/>
    <n v="0.2"/>
  </r>
  <r>
    <n v="90"/>
    <x v="9"/>
    <n v="102"/>
    <n v="4"/>
    <n v="8000"/>
    <n v="1600"/>
    <s v="Jeans"/>
    <x v="0"/>
    <s v="Hyderabad"/>
    <x v="0"/>
    <x v="1"/>
    <n v="0.2"/>
  </r>
  <r>
    <n v="91"/>
    <x v="0"/>
    <n v="101"/>
    <n v="5"/>
    <n v="5000"/>
    <n v="1000"/>
    <s v="T-Shirt"/>
    <x v="0"/>
    <s v="Bangalore"/>
    <x v="1"/>
    <x v="2"/>
    <n v="0.2"/>
  </r>
  <r>
    <n v="92"/>
    <x v="1"/>
    <n v="102"/>
    <n v="3"/>
    <n v="6000"/>
    <n v="1200"/>
    <s v="Jeans"/>
    <x v="0"/>
    <s v="Mumbai"/>
    <x v="1"/>
    <x v="3"/>
    <n v="0.2"/>
  </r>
  <r>
    <n v="93"/>
    <x v="2"/>
    <n v="103"/>
    <n v="4"/>
    <n v="8000"/>
    <n v="1600"/>
    <s v="Shoes"/>
    <x v="1"/>
    <s v="Pune"/>
    <x v="2"/>
    <x v="4"/>
    <n v="0.2"/>
  </r>
  <r>
    <n v="94"/>
    <x v="3"/>
    <n v="104"/>
    <n v="2"/>
    <n v="4000"/>
    <n v="800"/>
    <s v="Jacket"/>
    <x v="0"/>
    <s v="Delhi"/>
    <x v="2"/>
    <x v="5"/>
    <n v="0.2"/>
  </r>
  <r>
    <n v="95"/>
    <x v="4"/>
    <n v="105"/>
    <n v="6"/>
    <n v="9000"/>
    <n v="1800"/>
    <s v="Sandals"/>
    <x v="1"/>
    <s v="Jaipur"/>
    <x v="3"/>
    <x v="6"/>
    <n v="0.2"/>
  </r>
  <r>
    <n v="96"/>
    <x v="5"/>
    <n v="106"/>
    <n v="5"/>
    <n v="7500"/>
    <n v="1500"/>
    <s v="Shirt"/>
    <x v="0"/>
    <s v="Kolkata"/>
    <x v="0"/>
    <x v="7"/>
    <n v="0.2"/>
  </r>
  <r>
    <n v="97"/>
    <x v="6"/>
    <n v="107"/>
    <n v="3"/>
    <n v="6000"/>
    <n v="1200"/>
    <s v="Sneakers"/>
    <x v="1"/>
    <s v="Chennai"/>
    <x v="0"/>
    <x v="0"/>
    <n v="0.2"/>
  </r>
  <r>
    <n v="98"/>
    <x v="7"/>
    <n v="108"/>
    <n v="4"/>
    <n v="7000"/>
    <n v="1400"/>
    <s v="Hoodie"/>
    <x v="0"/>
    <s v="Hyderabad"/>
    <x v="0"/>
    <x v="1"/>
    <n v="0.2"/>
  </r>
  <r>
    <n v="99"/>
    <x v="8"/>
    <n v="101"/>
    <n v="6"/>
    <n v="6000"/>
    <n v="1200"/>
    <s v="T-Shirt"/>
    <x v="0"/>
    <s v="Bangalore"/>
    <x v="1"/>
    <x v="2"/>
    <n v="0.2"/>
  </r>
  <r>
    <n v="100"/>
    <x v="9"/>
    <n v="102"/>
    <n v="4"/>
    <n v="8000"/>
    <n v="1600"/>
    <s v="Jeans"/>
    <x v="0"/>
    <s v="Mumbai"/>
    <x v="1"/>
    <x v="3"/>
    <n v="0.2"/>
  </r>
  <r>
    <n v="101"/>
    <x v="0"/>
    <n v="101"/>
    <n v="5"/>
    <n v="5000"/>
    <n v="1000"/>
    <s v="T-Shirt"/>
    <x v="0"/>
    <s v="Pune"/>
    <x v="2"/>
    <x v="4"/>
    <n v="0.2"/>
  </r>
  <r>
    <n v="102"/>
    <x v="1"/>
    <n v="102"/>
    <n v="3"/>
    <n v="6000"/>
    <n v="1200"/>
    <s v="Jeans"/>
    <x v="0"/>
    <s v="Delhi"/>
    <x v="2"/>
    <x v="5"/>
    <n v="0.2"/>
  </r>
  <r>
    <n v="103"/>
    <x v="2"/>
    <n v="103"/>
    <n v="4"/>
    <n v="8000"/>
    <n v="1600"/>
    <s v="Shoes"/>
    <x v="1"/>
    <s v="Jaipur"/>
    <x v="3"/>
    <x v="6"/>
    <n v="0.2"/>
  </r>
  <r>
    <n v="104"/>
    <x v="3"/>
    <n v="104"/>
    <n v="2"/>
    <n v="4000"/>
    <n v="800"/>
    <s v="Jacket"/>
    <x v="0"/>
    <s v="Kolkata"/>
    <x v="0"/>
    <x v="7"/>
    <n v="0.2"/>
  </r>
  <r>
    <n v="105"/>
    <x v="4"/>
    <n v="105"/>
    <n v="6"/>
    <n v="9000"/>
    <n v="1800"/>
    <s v="Sandals"/>
    <x v="1"/>
    <s v="Chennai"/>
    <x v="0"/>
    <x v="0"/>
    <n v="0.2"/>
  </r>
  <r>
    <n v="106"/>
    <x v="5"/>
    <n v="106"/>
    <n v="5"/>
    <n v="7500"/>
    <n v="1500"/>
    <s v="Shirt"/>
    <x v="0"/>
    <s v="Hyderabad"/>
    <x v="0"/>
    <x v="1"/>
    <n v="0.2"/>
  </r>
  <r>
    <n v="107"/>
    <x v="6"/>
    <n v="107"/>
    <n v="3"/>
    <n v="6000"/>
    <n v="1200"/>
    <s v="Sneakers"/>
    <x v="1"/>
    <s v="Bangalore"/>
    <x v="1"/>
    <x v="2"/>
    <n v="0.2"/>
  </r>
  <r>
    <n v="108"/>
    <x v="7"/>
    <n v="108"/>
    <n v="4"/>
    <n v="7000"/>
    <n v="1400"/>
    <s v="Hoodie"/>
    <x v="0"/>
    <s v="Mumbai"/>
    <x v="1"/>
    <x v="3"/>
    <n v="0.2"/>
  </r>
  <r>
    <n v="109"/>
    <x v="8"/>
    <n v="101"/>
    <n v="6"/>
    <n v="6000"/>
    <n v="1200"/>
    <s v="T-Shirt"/>
    <x v="0"/>
    <s v="Pune"/>
    <x v="2"/>
    <x v="4"/>
    <n v="0.2"/>
  </r>
  <r>
    <n v="110"/>
    <x v="9"/>
    <n v="102"/>
    <n v="4"/>
    <n v="8000"/>
    <n v="1600"/>
    <s v="Jeans"/>
    <x v="0"/>
    <s v="Delhi"/>
    <x v="2"/>
    <x v="5"/>
    <n v="0.2"/>
  </r>
  <r>
    <n v="111"/>
    <x v="0"/>
    <n v="101"/>
    <n v="5"/>
    <n v="5000"/>
    <n v="1000"/>
    <s v="T-Shirt"/>
    <x v="0"/>
    <s v="Jaipur"/>
    <x v="3"/>
    <x v="6"/>
    <n v="0.2"/>
  </r>
  <r>
    <n v="112"/>
    <x v="1"/>
    <n v="102"/>
    <n v="3"/>
    <n v="6000"/>
    <n v="1200"/>
    <s v="Jeans"/>
    <x v="0"/>
    <s v="Kolkata"/>
    <x v="0"/>
    <x v="7"/>
    <n v="0.2"/>
  </r>
  <r>
    <n v="113"/>
    <x v="2"/>
    <n v="103"/>
    <n v="4"/>
    <n v="8000"/>
    <n v="1600"/>
    <s v="Shoes"/>
    <x v="1"/>
    <s v="Chennai"/>
    <x v="0"/>
    <x v="0"/>
    <n v="0.2"/>
  </r>
  <r>
    <n v="114"/>
    <x v="3"/>
    <n v="104"/>
    <n v="2"/>
    <n v="4000"/>
    <n v="800"/>
    <s v="Jacket"/>
    <x v="0"/>
    <s v="Hyderabad"/>
    <x v="0"/>
    <x v="1"/>
    <n v="0.2"/>
  </r>
  <r>
    <n v="115"/>
    <x v="4"/>
    <n v="105"/>
    <n v="6"/>
    <n v="9000"/>
    <n v="1800"/>
    <s v="Sandals"/>
    <x v="1"/>
    <s v="Bangalore"/>
    <x v="1"/>
    <x v="2"/>
    <n v="0.2"/>
  </r>
  <r>
    <n v="116"/>
    <x v="5"/>
    <n v="106"/>
    <n v="5"/>
    <n v="7500"/>
    <n v="1500"/>
    <s v="Shirt"/>
    <x v="0"/>
    <s v="Mumbai"/>
    <x v="1"/>
    <x v="3"/>
    <n v="0.2"/>
  </r>
  <r>
    <n v="117"/>
    <x v="6"/>
    <n v="107"/>
    <n v="3"/>
    <n v="6000"/>
    <n v="1200"/>
    <s v="Sneakers"/>
    <x v="1"/>
    <s v="Pune"/>
    <x v="2"/>
    <x v="4"/>
    <n v="0.2"/>
  </r>
  <r>
    <n v="118"/>
    <x v="7"/>
    <n v="108"/>
    <n v="4"/>
    <n v="7000"/>
    <n v="1400"/>
    <s v="Hoodie"/>
    <x v="0"/>
    <s v="Delhi"/>
    <x v="2"/>
    <x v="5"/>
    <n v="0.2"/>
  </r>
  <r>
    <n v="119"/>
    <x v="8"/>
    <n v="101"/>
    <n v="6"/>
    <n v="6000"/>
    <n v="1200"/>
    <s v="T-Shirt"/>
    <x v="0"/>
    <s v="Jaipur"/>
    <x v="3"/>
    <x v="6"/>
    <n v="0.2"/>
  </r>
  <r>
    <n v="120"/>
    <x v="9"/>
    <n v="102"/>
    <n v="4"/>
    <n v="8000"/>
    <n v="1600"/>
    <s v="Jeans"/>
    <x v="0"/>
    <s v="Kolkata"/>
    <x v="0"/>
    <x v="7"/>
    <n v="0.2"/>
  </r>
  <r>
    <n v="121"/>
    <x v="0"/>
    <n v="101"/>
    <n v="5"/>
    <n v="5000"/>
    <n v="1000"/>
    <s v="T-Shirt"/>
    <x v="0"/>
    <s v="Chennai"/>
    <x v="0"/>
    <x v="0"/>
    <n v="0.2"/>
  </r>
  <r>
    <n v="122"/>
    <x v="1"/>
    <n v="102"/>
    <n v="3"/>
    <n v="6000"/>
    <n v="1200"/>
    <s v="Jeans"/>
    <x v="0"/>
    <s v="Hyderabad"/>
    <x v="0"/>
    <x v="1"/>
    <n v="0.2"/>
  </r>
  <r>
    <n v="123"/>
    <x v="2"/>
    <n v="103"/>
    <n v="4"/>
    <n v="8000"/>
    <n v="1600"/>
    <s v="Shoes"/>
    <x v="1"/>
    <s v="Bangalore"/>
    <x v="1"/>
    <x v="2"/>
    <n v="0.2"/>
  </r>
  <r>
    <n v="124"/>
    <x v="3"/>
    <n v="104"/>
    <n v="2"/>
    <n v="4000"/>
    <n v="800"/>
    <s v="Jacket"/>
    <x v="0"/>
    <s v="Mumbai"/>
    <x v="1"/>
    <x v="3"/>
    <n v="0.2"/>
  </r>
  <r>
    <n v="125"/>
    <x v="4"/>
    <n v="105"/>
    <n v="6"/>
    <n v="9000"/>
    <n v="1800"/>
    <s v="Sandals"/>
    <x v="1"/>
    <s v="Pune"/>
    <x v="2"/>
    <x v="4"/>
    <n v="0.2"/>
  </r>
  <r>
    <n v="126"/>
    <x v="5"/>
    <n v="106"/>
    <n v="5"/>
    <n v="7500"/>
    <n v="1500"/>
    <s v="Shirt"/>
    <x v="0"/>
    <s v="Delhi"/>
    <x v="2"/>
    <x v="5"/>
    <n v="0.2"/>
  </r>
  <r>
    <n v="127"/>
    <x v="6"/>
    <n v="107"/>
    <n v="3"/>
    <n v="6000"/>
    <n v="1200"/>
    <s v="Sneakers"/>
    <x v="1"/>
    <s v="Jaipur"/>
    <x v="3"/>
    <x v="6"/>
    <n v="0.2"/>
  </r>
  <r>
    <n v="128"/>
    <x v="7"/>
    <n v="108"/>
    <n v="4"/>
    <n v="7000"/>
    <n v="1400"/>
    <s v="Hoodie"/>
    <x v="0"/>
    <s v="Kolkata"/>
    <x v="0"/>
    <x v="7"/>
    <n v="0.2"/>
  </r>
  <r>
    <n v="129"/>
    <x v="8"/>
    <n v="101"/>
    <n v="6"/>
    <n v="6000"/>
    <n v="1200"/>
    <s v="T-Shirt"/>
    <x v="0"/>
    <s v="Chennai"/>
    <x v="0"/>
    <x v="0"/>
    <n v="0.2"/>
  </r>
  <r>
    <n v="130"/>
    <x v="9"/>
    <n v="102"/>
    <n v="4"/>
    <n v="8000"/>
    <n v="1600"/>
    <s v="Jeans"/>
    <x v="0"/>
    <s v="Hyderabad"/>
    <x v="0"/>
    <x v="1"/>
    <n v="0.2"/>
  </r>
  <r>
    <n v="131"/>
    <x v="0"/>
    <n v="101"/>
    <n v="5"/>
    <n v="5000"/>
    <n v="1000"/>
    <s v="T-Shirt"/>
    <x v="0"/>
    <s v="Bangalore"/>
    <x v="1"/>
    <x v="2"/>
    <n v="0.2"/>
  </r>
  <r>
    <n v="132"/>
    <x v="1"/>
    <n v="102"/>
    <n v="3"/>
    <n v="6000"/>
    <n v="1200"/>
    <s v="Jeans"/>
    <x v="0"/>
    <s v="Mumbai"/>
    <x v="1"/>
    <x v="3"/>
    <n v="0.2"/>
  </r>
  <r>
    <n v="133"/>
    <x v="2"/>
    <n v="103"/>
    <n v="4"/>
    <n v="8000"/>
    <n v="1600"/>
    <s v="Shoes"/>
    <x v="1"/>
    <s v="Pune"/>
    <x v="2"/>
    <x v="4"/>
    <n v="0.2"/>
  </r>
  <r>
    <n v="134"/>
    <x v="3"/>
    <n v="104"/>
    <n v="2"/>
    <n v="4000"/>
    <n v="800"/>
    <s v="Jacket"/>
    <x v="0"/>
    <s v="Delhi"/>
    <x v="2"/>
    <x v="5"/>
    <n v="0.2"/>
  </r>
  <r>
    <n v="135"/>
    <x v="4"/>
    <n v="105"/>
    <n v="6"/>
    <n v="9000"/>
    <n v="1800"/>
    <s v="Sandals"/>
    <x v="1"/>
    <s v="Jaipur"/>
    <x v="3"/>
    <x v="6"/>
    <n v="0.2"/>
  </r>
  <r>
    <n v="136"/>
    <x v="5"/>
    <n v="106"/>
    <n v="5"/>
    <n v="7500"/>
    <n v="1500"/>
    <s v="Shirt"/>
    <x v="0"/>
    <s v="Kolkata"/>
    <x v="0"/>
    <x v="7"/>
    <n v="0.2"/>
  </r>
  <r>
    <n v="137"/>
    <x v="6"/>
    <n v="107"/>
    <n v="3"/>
    <n v="6000"/>
    <n v="1200"/>
    <s v="Sneakers"/>
    <x v="1"/>
    <s v="Chennai"/>
    <x v="0"/>
    <x v="0"/>
    <n v="0.2"/>
  </r>
  <r>
    <n v="138"/>
    <x v="7"/>
    <n v="108"/>
    <n v="4"/>
    <n v="7000"/>
    <n v="1400"/>
    <s v="Hoodie"/>
    <x v="0"/>
    <s v="Hyderabad"/>
    <x v="0"/>
    <x v="1"/>
    <n v="0.2"/>
  </r>
  <r>
    <n v="139"/>
    <x v="8"/>
    <n v="101"/>
    <n v="6"/>
    <n v="6000"/>
    <n v="1200"/>
    <s v="T-Shirt"/>
    <x v="0"/>
    <s v="Bangalore"/>
    <x v="1"/>
    <x v="2"/>
    <n v="0.2"/>
  </r>
  <r>
    <n v="140"/>
    <x v="9"/>
    <n v="102"/>
    <n v="4"/>
    <n v="8000"/>
    <n v="1600"/>
    <s v="Jeans"/>
    <x v="0"/>
    <s v="Mumbai"/>
    <x v="1"/>
    <x v="3"/>
    <n v="0.2"/>
  </r>
  <r>
    <n v="141"/>
    <x v="0"/>
    <n v="101"/>
    <n v="5"/>
    <n v="5000"/>
    <n v="1000"/>
    <s v="T-Shirt"/>
    <x v="0"/>
    <s v="Pune"/>
    <x v="2"/>
    <x v="4"/>
    <n v="0.2"/>
  </r>
  <r>
    <n v="142"/>
    <x v="1"/>
    <n v="102"/>
    <n v="3"/>
    <n v="6000"/>
    <n v="1200"/>
    <s v="Jeans"/>
    <x v="0"/>
    <s v="Delhi"/>
    <x v="2"/>
    <x v="5"/>
    <n v="0.2"/>
  </r>
  <r>
    <n v="143"/>
    <x v="2"/>
    <n v="103"/>
    <n v="4"/>
    <n v="8000"/>
    <n v="1600"/>
    <s v="Shoes"/>
    <x v="1"/>
    <s v="Jaipur"/>
    <x v="3"/>
    <x v="6"/>
    <n v="0.2"/>
  </r>
  <r>
    <n v="144"/>
    <x v="3"/>
    <n v="104"/>
    <n v="2"/>
    <n v="4000"/>
    <n v="800"/>
    <s v="Jacket"/>
    <x v="0"/>
    <s v="Kolkata"/>
    <x v="0"/>
    <x v="7"/>
    <n v="0.2"/>
  </r>
  <r>
    <n v="145"/>
    <x v="4"/>
    <n v="105"/>
    <n v="6"/>
    <n v="9000"/>
    <n v="1800"/>
    <s v="Sandals"/>
    <x v="1"/>
    <s v="Chennai"/>
    <x v="0"/>
    <x v="0"/>
    <n v="0.2"/>
  </r>
  <r>
    <n v="146"/>
    <x v="5"/>
    <n v="106"/>
    <n v="5"/>
    <n v="7500"/>
    <n v="1500"/>
    <s v="Shirt"/>
    <x v="0"/>
    <s v="Hyderabad"/>
    <x v="0"/>
    <x v="1"/>
    <n v="0.2"/>
  </r>
  <r>
    <n v="147"/>
    <x v="6"/>
    <n v="107"/>
    <n v="3"/>
    <n v="6000"/>
    <n v="1200"/>
    <s v="Sneakers"/>
    <x v="1"/>
    <s v="Bangalore"/>
    <x v="1"/>
    <x v="2"/>
    <n v="0.2"/>
  </r>
  <r>
    <n v="148"/>
    <x v="7"/>
    <n v="108"/>
    <n v="4"/>
    <n v="7000"/>
    <n v="1400"/>
    <s v="Hoodie"/>
    <x v="0"/>
    <s v="Mumbai"/>
    <x v="1"/>
    <x v="3"/>
    <n v="0.2"/>
  </r>
  <r>
    <n v="149"/>
    <x v="8"/>
    <n v="101"/>
    <n v="6"/>
    <n v="6000"/>
    <n v="1200"/>
    <s v="T-Shirt"/>
    <x v="0"/>
    <s v="Pune"/>
    <x v="2"/>
    <x v="4"/>
    <n v="0.2"/>
  </r>
  <r>
    <n v="150"/>
    <x v="9"/>
    <n v="102"/>
    <n v="4"/>
    <n v="8000"/>
    <n v="1600"/>
    <s v="Jeans"/>
    <x v="0"/>
    <s v="Delhi"/>
    <x v="2"/>
    <x v="5"/>
    <n v="0.2"/>
  </r>
  <r>
    <n v="151"/>
    <x v="0"/>
    <n v="101"/>
    <n v="5"/>
    <n v="5000"/>
    <n v="1000"/>
    <s v="T-Shirt"/>
    <x v="0"/>
    <s v="Jaipur"/>
    <x v="3"/>
    <x v="6"/>
    <n v="0.2"/>
  </r>
  <r>
    <n v="152"/>
    <x v="1"/>
    <n v="102"/>
    <n v="3"/>
    <n v="6000"/>
    <n v="1200"/>
    <s v="Jeans"/>
    <x v="0"/>
    <s v="Kolkata"/>
    <x v="0"/>
    <x v="7"/>
    <n v="0.2"/>
  </r>
  <r>
    <n v="153"/>
    <x v="2"/>
    <n v="103"/>
    <n v="4"/>
    <n v="8000"/>
    <n v="1600"/>
    <s v="Shoes"/>
    <x v="1"/>
    <s v="Chennai"/>
    <x v="0"/>
    <x v="0"/>
    <n v="0.2"/>
  </r>
  <r>
    <n v="154"/>
    <x v="3"/>
    <n v="104"/>
    <n v="2"/>
    <n v="4000"/>
    <n v="800"/>
    <s v="Jacket"/>
    <x v="0"/>
    <s v="Hyderabad"/>
    <x v="0"/>
    <x v="1"/>
    <n v="0.2"/>
  </r>
  <r>
    <n v="155"/>
    <x v="4"/>
    <n v="105"/>
    <n v="6"/>
    <n v="9000"/>
    <n v="1800"/>
    <s v="Sandals"/>
    <x v="1"/>
    <s v="Bangalore"/>
    <x v="1"/>
    <x v="2"/>
    <n v="0.2"/>
  </r>
  <r>
    <n v="156"/>
    <x v="5"/>
    <n v="106"/>
    <n v="5"/>
    <n v="7500"/>
    <n v="1500"/>
    <s v="Shirt"/>
    <x v="0"/>
    <s v="Mumbai"/>
    <x v="1"/>
    <x v="3"/>
    <n v="0.2"/>
  </r>
  <r>
    <n v="157"/>
    <x v="6"/>
    <n v="107"/>
    <n v="3"/>
    <n v="6000"/>
    <n v="1200"/>
    <s v="Sneakers"/>
    <x v="1"/>
    <s v="Pune"/>
    <x v="2"/>
    <x v="4"/>
    <n v="0.2"/>
  </r>
  <r>
    <n v="158"/>
    <x v="7"/>
    <n v="108"/>
    <n v="4"/>
    <n v="7000"/>
    <n v="1400"/>
    <s v="Hoodie"/>
    <x v="0"/>
    <s v="Delhi"/>
    <x v="2"/>
    <x v="5"/>
    <n v="0.2"/>
  </r>
  <r>
    <n v="159"/>
    <x v="8"/>
    <n v="101"/>
    <n v="6"/>
    <n v="6000"/>
    <n v="1200"/>
    <s v="T-Shirt"/>
    <x v="0"/>
    <s v="Jaipur"/>
    <x v="3"/>
    <x v="6"/>
    <n v="0.2"/>
  </r>
  <r>
    <n v="160"/>
    <x v="9"/>
    <n v="102"/>
    <n v="4"/>
    <n v="8000"/>
    <n v="1600"/>
    <s v="Jeans"/>
    <x v="0"/>
    <s v="Kolkata"/>
    <x v="0"/>
    <x v="7"/>
    <n v="0.2"/>
  </r>
  <r>
    <n v="161"/>
    <x v="0"/>
    <n v="101"/>
    <n v="5"/>
    <n v="5000"/>
    <n v="1000"/>
    <s v="T-Shirt"/>
    <x v="0"/>
    <s v="Chennai"/>
    <x v="0"/>
    <x v="0"/>
    <n v="0.2"/>
  </r>
  <r>
    <n v="162"/>
    <x v="1"/>
    <n v="102"/>
    <n v="3"/>
    <n v="6000"/>
    <n v="1200"/>
    <s v="Jeans"/>
    <x v="0"/>
    <s v="Hyderabad"/>
    <x v="0"/>
    <x v="1"/>
    <n v="0.2"/>
  </r>
  <r>
    <n v="163"/>
    <x v="2"/>
    <n v="103"/>
    <n v="4"/>
    <n v="8000"/>
    <n v="1600"/>
    <s v="Shoes"/>
    <x v="1"/>
    <s v="Bangalore"/>
    <x v="1"/>
    <x v="2"/>
    <n v="0.2"/>
  </r>
  <r>
    <n v="164"/>
    <x v="3"/>
    <n v="104"/>
    <n v="2"/>
    <n v="4000"/>
    <n v="800"/>
    <s v="Jacket"/>
    <x v="0"/>
    <s v="Mumbai"/>
    <x v="1"/>
    <x v="3"/>
    <n v="0.2"/>
  </r>
  <r>
    <n v="165"/>
    <x v="4"/>
    <n v="105"/>
    <n v="6"/>
    <n v="9000"/>
    <n v="1800"/>
    <s v="Sandals"/>
    <x v="1"/>
    <s v="Pune"/>
    <x v="2"/>
    <x v="4"/>
    <n v="0.2"/>
  </r>
  <r>
    <n v="166"/>
    <x v="5"/>
    <n v="106"/>
    <n v="5"/>
    <n v="7500"/>
    <n v="1500"/>
    <s v="Shirt"/>
    <x v="0"/>
    <s v="Delhi"/>
    <x v="2"/>
    <x v="5"/>
    <n v="0.2"/>
  </r>
  <r>
    <n v="167"/>
    <x v="6"/>
    <n v="107"/>
    <n v="3"/>
    <n v="6000"/>
    <n v="1200"/>
    <s v="Sneakers"/>
    <x v="1"/>
    <s v="Jaipur"/>
    <x v="3"/>
    <x v="6"/>
    <n v="0.2"/>
  </r>
  <r>
    <n v="168"/>
    <x v="7"/>
    <n v="108"/>
    <n v="4"/>
    <n v="7000"/>
    <n v="1400"/>
    <s v="Hoodie"/>
    <x v="0"/>
    <s v="Kolkata"/>
    <x v="0"/>
    <x v="7"/>
    <n v="0.2"/>
  </r>
  <r>
    <n v="169"/>
    <x v="8"/>
    <n v="101"/>
    <n v="6"/>
    <n v="6000"/>
    <n v="1200"/>
    <s v="T-Shirt"/>
    <x v="0"/>
    <s v="Chennai"/>
    <x v="0"/>
    <x v="0"/>
    <n v="0.2"/>
  </r>
  <r>
    <n v="170"/>
    <x v="9"/>
    <n v="102"/>
    <n v="4"/>
    <n v="8000"/>
    <n v="1600"/>
    <s v="Jeans"/>
    <x v="0"/>
    <s v="Hyderabad"/>
    <x v="0"/>
    <x v="1"/>
    <n v="0.2"/>
  </r>
  <r>
    <n v="171"/>
    <x v="0"/>
    <n v="101"/>
    <n v="5"/>
    <n v="5000"/>
    <n v="1000"/>
    <s v="T-Shirt"/>
    <x v="0"/>
    <s v="Bangalore"/>
    <x v="1"/>
    <x v="2"/>
    <n v="0.2"/>
  </r>
  <r>
    <n v="172"/>
    <x v="1"/>
    <n v="102"/>
    <n v="3"/>
    <n v="6000"/>
    <n v="1200"/>
    <s v="Jeans"/>
    <x v="0"/>
    <s v="Mumbai"/>
    <x v="1"/>
    <x v="3"/>
    <n v="0.2"/>
  </r>
  <r>
    <n v="173"/>
    <x v="2"/>
    <n v="103"/>
    <n v="4"/>
    <n v="8000"/>
    <n v="1600"/>
    <s v="Shoes"/>
    <x v="1"/>
    <s v="Pune"/>
    <x v="2"/>
    <x v="4"/>
    <n v="0.2"/>
  </r>
  <r>
    <n v="174"/>
    <x v="3"/>
    <n v="104"/>
    <n v="2"/>
    <n v="4000"/>
    <n v="800"/>
    <s v="Jacket"/>
    <x v="0"/>
    <s v="Delhi"/>
    <x v="2"/>
    <x v="5"/>
    <n v="0.2"/>
  </r>
  <r>
    <n v="175"/>
    <x v="4"/>
    <n v="105"/>
    <n v="6"/>
    <n v="9000"/>
    <n v="1800"/>
    <s v="Sandals"/>
    <x v="1"/>
    <s v="Jaipur"/>
    <x v="3"/>
    <x v="6"/>
    <n v="0.2"/>
  </r>
  <r>
    <n v="176"/>
    <x v="5"/>
    <n v="106"/>
    <n v="5"/>
    <n v="7500"/>
    <n v="1500"/>
    <s v="Shirt"/>
    <x v="0"/>
    <s v="Kolkata"/>
    <x v="0"/>
    <x v="7"/>
    <n v="0.2"/>
  </r>
  <r>
    <n v="177"/>
    <x v="6"/>
    <n v="107"/>
    <n v="3"/>
    <n v="6000"/>
    <n v="1200"/>
    <s v="Sneakers"/>
    <x v="1"/>
    <s v="Chennai"/>
    <x v="0"/>
    <x v="0"/>
    <n v="0.2"/>
  </r>
  <r>
    <n v="178"/>
    <x v="7"/>
    <n v="108"/>
    <n v="4"/>
    <n v="7000"/>
    <n v="1400"/>
    <s v="Hoodie"/>
    <x v="0"/>
    <s v="Hyderabad"/>
    <x v="0"/>
    <x v="1"/>
    <n v="0.2"/>
  </r>
  <r>
    <n v="179"/>
    <x v="8"/>
    <n v="101"/>
    <n v="6"/>
    <n v="6000"/>
    <n v="1200"/>
    <s v="T-Shirt"/>
    <x v="0"/>
    <s v="Bangalore"/>
    <x v="1"/>
    <x v="2"/>
    <n v="0.2"/>
  </r>
  <r>
    <n v="180"/>
    <x v="9"/>
    <n v="102"/>
    <n v="4"/>
    <n v="8000"/>
    <n v="1600"/>
    <s v="Jeans"/>
    <x v="0"/>
    <s v="Mumbai"/>
    <x v="1"/>
    <x v="3"/>
    <n v="0.2"/>
  </r>
  <r>
    <n v="181"/>
    <x v="0"/>
    <n v="101"/>
    <n v="5"/>
    <n v="5000"/>
    <n v="1000"/>
    <s v="T-Shirt"/>
    <x v="0"/>
    <s v="Pune"/>
    <x v="2"/>
    <x v="4"/>
    <n v="0.2"/>
  </r>
  <r>
    <n v="182"/>
    <x v="1"/>
    <n v="102"/>
    <n v="3"/>
    <n v="6000"/>
    <n v="1200"/>
    <s v="Jeans"/>
    <x v="0"/>
    <s v="Delhi"/>
    <x v="2"/>
    <x v="5"/>
    <n v="0.2"/>
  </r>
  <r>
    <n v="183"/>
    <x v="2"/>
    <n v="103"/>
    <n v="4"/>
    <n v="8000"/>
    <n v="1600"/>
    <s v="Shoes"/>
    <x v="1"/>
    <s v="Jaipur"/>
    <x v="3"/>
    <x v="6"/>
    <n v="0.2"/>
  </r>
  <r>
    <n v="184"/>
    <x v="3"/>
    <n v="104"/>
    <n v="2"/>
    <n v="4000"/>
    <n v="800"/>
    <s v="Jacket"/>
    <x v="0"/>
    <s v="Kolkata"/>
    <x v="0"/>
    <x v="7"/>
    <n v="0.2"/>
  </r>
  <r>
    <n v="185"/>
    <x v="4"/>
    <n v="105"/>
    <n v="6"/>
    <n v="9000"/>
    <n v="1800"/>
    <s v="Sandals"/>
    <x v="1"/>
    <s v="Chennai"/>
    <x v="0"/>
    <x v="0"/>
    <n v="0.2"/>
  </r>
  <r>
    <n v="186"/>
    <x v="5"/>
    <n v="106"/>
    <n v="5"/>
    <n v="7500"/>
    <n v="1500"/>
    <s v="Shirt"/>
    <x v="0"/>
    <s v="Hyderabad"/>
    <x v="0"/>
    <x v="1"/>
    <n v="0.2"/>
  </r>
  <r>
    <n v="187"/>
    <x v="6"/>
    <n v="107"/>
    <n v="3"/>
    <n v="6000"/>
    <n v="1200"/>
    <s v="Sneakers"/>
    <x v="1"/>
    <s v="Bangalore"/>
    <x v="1"/>
    <x v="2"/>
    <n v="0.2"/>
  </r>
  <r>
    <n v="188"/>
    <x v="7"/>
    <n v="108"/>
    <n v="4"/>
    <n v="7000"/>
    <n v="1400"/>
    <s v="Hoodie"/>
    <x v="0"/>
    <s v="Mumbai"/>
    <x v="1"/>
    <x v="3"/>
    <n v="0.2"/>
  </r>
  <r>
    <n v="189"/>
    <x v="8"/>
    <n v="101"/>
    <n v="6"/>
    <n v="6000"/>
    <n v="1200"/>
    <s v="T-Shirt"/>
    <x v="0"/>
    <s v="Pune"/>
    <x v="2"/>
    <x v="4"/>
    <n v="0.2"/>
  </r>
  <r>
    <n v="190"/>
    <x v="9"/>
    <n v="102"/>
    <n v="4"/>
    <n v="8000"/>
    <n v="1600"/>
    <s v="Jeans"/>
    <x v="0"/>
    <s v="Delhi"/>
    <x v="2"/>
    <x v="5"/>
    <n v="0.2"/>
  </r>
  <r>
    <n v="191"/>
    <x v="0"/>
    <n v="101"/>
    <n v="5"/>
    <n v="5000"/>
    <n v="1000"/>
    <s v="T-Shirt"/>
    <x v="0"/>
    <s v="Jaipur"/>
    <x v="3"/>
    <x v="6"/>
    <n v="0.2"/>
  </r>
  <r>
    <n v="192"/>
    <x v="1"/>
    <n v="102"/>
    <n v="3"/>
    <n v="6000"/>
    <n v="1200"/>
    <s v="Jeans"/>
    <x v="0"/>
    <s v="Kolkata"/>
    <x v="0"/>
    <x v="7"/>
    <n v="0.2"/>
  </r>
  <r>
    <n v="193"/>
    <x v="2"/>
    <n v="103"/>
    <n v="4"/>
    <n v="8000"/>
    <n v="1600"/>
    <s v="Shoes"/>
    <x v="1"/>
    <s v="Chennai"/>
    <x v="0"/>
    <x v="0"/>
    <n v="0.2"/>
  </r>
  <r>
    <n v="194"/>
    <x v="3"/>
    <n v="104"/>
    <n v="2"/>
    <n v="4000"/>
    <n v="800"/>
    <s v="Jacket"/>
    <x v="0"/>
    <s v="Banglore"/>
    <x v="0"/>
    <x v="1"/>
    <n v="0.2"/>
  </r>
  <r>
    <n v="195"/>
    <x v="4"/>
    <n v="105"/>
    <n v="6"/>
    <n v="9000"/>
    <n v="1800"/>
    <s v="Sandals"/>
    <x v="1"/>
    <s v="Mumbai"/>
    <x v="1"/>
    <x v="2"/>
    <n v="0.2"/>
  </r>
  <r>
    <n v="196"/>
    <x v="5"/>
    <n v="106"/>
    <n v="5"/>
    <n v="7500"/>
    <n v="1500"/>
    <s v="Shirt"/>
    <x v="0"/>
    <s v="Pune"/>
    <x v="1"/>
    <x v="3"/>
    <n v="0.2"/>
  </r>
  <r>
    <n v="197"/>
    <x v="6"/>
    <n v="107"/>
    <n v="3"/>
    <n v="6000"/>
    <n v="1200"/>
    <s v="Sneakers"/>
    <x v="1"/>
    <s v="Jaipur"/>
    <x v="2"/>
    <x v="4"/>
    <n v="0.2"/>
  </r>
  <r>
    <n v="198"/>
    <x v="7"/>
    <n v="108"/>
    <n v="4"/>
    <n v="7000"/>
    <n v="1400"/>
    <s v="Hoodie"/>
    <x v="0"/>
    <s v="Kolkata"/>
    <x v="2"/>
    <x v="5"/>
    <n v="0.2"/>
  </r>
  <r>
    <n v="199"/>
    <x v="8"/>
    <n v="101"/>
    <n v="6"/>
    <n v="6000"/>
    <n v="1200"/>
    <s v="T-Shirt"/>
    <x v="0"/>
    <s v="Hyderabad"/>
    <x v="3"/>
    <x v="6"/>
    <n v="0.2"/>
  </r>
  <r>
    <n v="200"/>
    <x v="9"/>
    <n v="102"/>
    <n v="4"/>
    <n v="8000"/>
    <n v="1600"/>
    <s v="Jeans"/>
    <x v="0"/>
    <s v="Delhi"/>
    <x v="0"/>
    <x v="7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3354E-5E10-4268-A139-135499702DB3}" name="PivotTable7" cacheId="23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20:R24" firstHeaderRow="1" firstDataRow="2" firstDataCol="1"/>
  <pivotFields count="12">
    <pivotField compact="0" outline="0" showAll="0"/>
    <pivotField axis="axisCol" compact="0" numFmtId="14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5">
        <item x="3"/>
        <item x="2"/>
        <item x="0"/>
        <item x="1"/>
        <item t="default"/>
      </items>
    </pivotField>
    <pivotField compact="0" outline="0" showAll="0"/>
    <pivotField compact="0" numFmtId="10" outline="0" showAll="0"/>
  </pivotFields>
  <rowFields count="1">
    <field x="7"/>
  </rowFields>
  <rowItems count="3">
    <i>
      <x/>
    </i>
    <i>
      <x v="1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Revenue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DB2D2-11E0-4F14-B340-6BFE58D222CE}" name="PivotTable5" cacheId="23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0:E33" firstHeaderRow="0" firstDataRow="1" firstDataCol="2"/>
  <pivotFields count="12">
    <pivotField dataField="1" compact="0" outline="0" showAll="0"/>
    <pivotField compact="0" numFmtId="14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9">
        <item x="1"/>
        <item x="7"/>
        <item x="4"/>
        <item x="0"/>
        <item x="5"/>
        <item x="6"/>
        <item x="2"/>
        <item x="3"/>
        <item t="default"/>
      </items>
    </pivotField>
    <pivotField dataField="1" compact="0" numFmtId="10" outline="0" showAll="0"/>
  </pivotFields>
  <rowFields count="2">
    <field x="9"/>
    <field x="10"/>
  </rowFields>
  <rowItems count="13">
    <i>
      <x/>
      <x v="5"/>
    </i>
    <i t="default">
      <x/>
    </i>
    <i>
      <x v="1"/>
      <x v="2"/>
    </i>
    <i r="1">
      <x v="4"/>
    </i>
    <i t="default">
      <x v="1"/>
    </i>
    <i>
      <x v="2"/>
      <x/>
    </i>
    <i r="1">
      <x v="1"/>
    </i>
    <i r="1">
      <x v="3"/>
    </i>
    <i t="default">
      <x v="2"/>
    </i>
    <i>
      <x v="3"/>
      <x v="6"/>
    </i>
    <i r="1">
      <x v="7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5" baseField="0" baseItem="0"/>
    <dataField name="Count of Store_ID" fld="0" subtotal="count" baseField="0" baseItem="0"/>
    <dataField name="Average of Profit_Margin" fld="11" subtotal="average" baseField="0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ate" xr10:uid="{ED0E774F-22E2-4EF1-BD32-8720BD05DCA8}" sourceName="Date">
  <pivotTables>
    <pivotTable tabId="6" name="PivotTable5"/>
  </pivotTables>
  <data>
    <tabular pivotCacheId="1011968962">
      <items count="10">
        <i x="0" s="1"/>
        <i x="1" s="1"/>
        <i x="2" s="1"/>
        <i x="3" s="1"/>
        <i x="4" s="1"/>
        <i x="5" s="1"/>
        <i x="6" s="1"/>
        <i x="7" s="1"/>
        <i x="8" s="1"/>
        <i x="9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F64B717B-1053-492E-8C4C-11899BDA6288}" sourceName="Region">
  <pivotTables>
    <pivotTable tabId="6" name="PivotTable5"/>
    <pivotTable tabId="6" name="PivotTable7"/>
  </pivotTables>
  <data>
    <tabular pivotCacheId="1011968962">
      <items count="4">
        <i x="3" s="1"/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e" xr10:uid="{18A3F200-D6A2-4FF1-BF43-71ABB4400162}" cache="Slicer_Date" caption="Date" rowHeight="228600"/>
  <slicer name="Region" xr10:uid="{3B8F8E9A-CD9A-40F5-8301-183C6F29F823}" cache="Slicer_Region" caption="Reg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2D762-2BCF-4027-A6C8-B53A988CC969}">
  <dimension ref="A20:R33"/>
  <sheetViews>
    <sheetView tabSelected="1" topLeftCell="A14" workbookViewId="0">
      <selection activeCell="Q31" sqref="Q31"/>
    </sheetView>
  </sheetViews>
  <sheetFormatPr defaultRowHeight="15"/>
  <cols>
    <col min="1" max="1" width="11.42578125" bestFit="1" customWidth="1"/>
    <col min="2" max="2" width="15.140625" bestFit="1" customWidth="1"/>
    <col min="3" max="3" width="12.5703125" bestFit="1" customWidth="1"/>
    <col min="4" max="4" width="16.7109375" bestFit="1" customWidth="1"/>
    <col min="5" max="5" width="23.42578125" bestFit="1" customWidth="1"/>
    <col min="7" max="7" width="12" bestFit="1" customWidth="1"/>
    <col min="8" max="8" width="9.28515625" bestFit="1" customWidth="1"/>
    <col min="17" max="17" width="10.28515625" bestFit="1" customWidth="1"/>
    <col min="18" max="18" width="11.42578125" bestFit="1" customWidth="1"/>
  </cols>
  <sheetData>
    <row r="20" spans="1:18">
      <c r="A20" s="2" t="s">
        <v>0</v>
      </c>
      <c r="B20" s="2" t="s">
        <v>1</v>
      </c>
      <c r="C20" s="2" t="s">
        <v>2</v>
      </c>
      <c r="D20" t="s">
        <v>3</v>
      </c>
      <c r="E20" t="s">
        <v>4</v>
      </c>
      <c r="G20" s="2" t="s">
        <v>5</v>
      </c>
      <c r="H20" s="2" t="s">
        <v>6</v>
      </c>
    </row>
    <row r="21" spans="1:18">
      <c r="A21" t="s">
        <v>7</v>
      </c>
      <c r="B21" t="s">
        <v>8</v>
      </c>
      <c r="C21" s="3">
        <v>34000</v>
      </c>
      <c r="D21" s="3">
        <v>25</v>
      </c>
      <c r="E21" s="4">
        <v>0.20000000000000007</v>
      </c>
      <c r="G21" s="2" t="s">
        <v>9</v>
      </c>
      <c r="H21" s="1">
        <v>46023</v>
      </c>
      <c r="I21" s="1">
        <v>46054</v>
      </c>
      <c r="J21" s="1">
        <v>46082</v>
      </c>
      <c r="K21" s="1">
        <v>46113</v>
      </c>
      <c r="L21" s="1">
        <v>46143</v>
      </c>
      <c r="M21" s="1">
        <v>46174</v>
      </c>
      <c r="N21" s="1">
        <v>46204</v>
      </c>
      <c r="O21" s="1">
        <v>46235</v>
      </c>
      <c r="P21" s="1">
        <v>46266</v>
      </c>
      <c r="Q21" s="1">
        <v>46296</v>
      </c>
      <c r="R21" s="1" t="s">
        <v>10</v>
      </c>
    </row>
    <row r="22" spans="1:18">
      <c r="A22" t="s">
        <v>11</v>
      </c>
      <c r="C22" s="3">
        <v>34000</v>
      </c>
      <c r="D22" s="3">
        <v>25</v>
      </c>
      <c r="E22" s="4">
        <v>0.20000000000000007</v>
      </c>
      <c r="G22" t="s">
        <v>12</v>
      </c>
      <c r="H22" s="3">
        <v>100000</v>
      </c>
      <c r="I22" s="3">
        <v>120000</v>
      </c>
      <c r="J22" s="3"/>
      <c r="K22" s="3">
        <v>80000</v>
      </c>
      <c r="L22" s="3"/>
      <c r="M22" s="3">
        <v>150000</v>
      </c>
      <c r="N22" s="3"/>
      <c r="O22" s="3">
        <v>140000</v>
      </c>
      <c r="P22" s="3">
        <v>120000</v>
      </c>
      <c r="Q22" s="3">
        <v>160000</v>
      </c>
      <c r="R22" s="3">
        <v>870000</v>
      </c>
    </row>
    <row r="23" spans="1:18">
      <c r="A23" t="s">
        <v>13</v>
      </c>
      <c r="B23" t="s">
        <v>14</v>
      </c>
      <c r="C23" s="3">
        <v>34000</v>
      </c>
      <c r="D23" s="3">
        <v>25</v>
      </c>
      <c r="E23" s="4">
        <v>0.20000000000000007</v>
      </c>
      <c r="G23" t="s">
        <v>15</v>
      </c>
      <c r="H23" s="3"/>
      <c r="I23" s="3"/>
      <c r="J23" s="3">
        <v>160000</v>
      </c>
      <c r="K23" s="3"/>
      <c r="L23" s="3">
        <v>180000</v>
      </c>
      <c r="M23" s="3"/>
      <c r="N23" s="3">
        <v>120000</v>
      </c>
      <c r="O23" s="3"/>
      <c r="P23" s="3"/>
      <c r="Q23" s="3"/>
      <c r="R23" s="3">
        <v>460000</v>
      </c>
    </row>
    <row r="24" spans="1:18">
      <c r="B24" t="s">
        <v>16</v>
      </c>
      <c r="C24" s="3">
        <v>32500</v>
      </c>
      <c r="D24" s="3">
        <v>25</v>
      </c>
      <c r="E24" s="4">
        <v>0.20000000000000007</v>
      </c>
      <c r="G24" t="s">
        <v>10</v>
      </c>
      <c r="H24" s="3">
        <v>100000</v>
      </c>
      <c r="I24" s="3">
        <v>120000</v>
      </c>
      <c r="J24" s="3">
        <v>160000</v>
      </c>
      <c r="K24" s="3">
        <v>80000</v>
      </c>
      <c r="L24" s="3">
        <v>180000</v>
      </c>
      <c r="M24" s="3">
        <v>150000</v>
      </c>
      <c r="N24" s="3">
        <v>120000</v>
      </c>
      <c r="O24" s="3">
        <v>140000</v>
      </c>
      <c r="P24" s="3">
        <v>120000</v>
      </c>
      <c r="Q24" s="3">
        <v>160000</v>
      </c>
      <c r="R24" s="3">
        <v>1330000</v>
      </c>
    </row>
    <row r="25" spans="1:18">
      <c r="A25" t="s">
        <v>17</v>
      </c>
      <c r="C25" s="3">
        <v>66500</v>
      </c>
      <c r="D25" s="3">
        <v>50</v>
      </c>
      <c r="E25" s="4">
        <v>0.19999999999999993</v>
      </c>
    </row>
    <row r="26" spans="1:18">
      <c r="A26" t="s">
        <v>18</v>
      </c>
      <c r="B26" t="s">
        <v>19</v>
      </c>
      <c r="C26" s="3">
        <v>32500</v>
      </c>
      <c r="D26" s="3">
        <v>25</v>
      </c>
      <c r="E26" s="4">
        <v>0.20000000000000007</v>
      </c>
    </row>
    <row r="27" spans="1:18">
      <c r="B27" t="s">
        <v>20</v>
      </c>
      <c r="C27" s="3">
        <v>32500</v>
      </c>
      <c r="D27" s="3">
        <v>25</v>
      </c>
      <c r="E27" s="4">
        <v>0.20000000000000007</v>
      </c>
    </row>
    <row r="28" spans="1:18">
      <c r="B28" t="s">
        <v>21</v>
      </c>
      <c r="C28" s="3">
        <v>34000</v>
      </c>
      <c r="D28" s="3">
        <v>25</v>
      </c>
      <c r="E28" s="4">
        <v>0.20000000000000007</v>
      </c>
    </row>
    <row r="29" spans="1:18">
      <c r="A29" t="s">
        <v>22</v>
      </c>
      <c r="C29" s="3">
        <v>99000</v>
      </c>
      <c r="D29" s="3">
        <v>75</v>
      </c>
      <c r="E29" s="4">
        <v>0.19999999999999971</v>
      </c>
    </row>
    <row r="30" spans="1:18">
      <c r="A30" t="s">
        <v>23</v>
      </c>
      <c r="B30" t="s">
        <v>24</v>
      </c>
      <c r="C30" s="3">
        <v>34000</v>
      </c>
      <c r="D30" s="3">
        <v>25</v>
      </c>
      <c r="E30" s="4">
        <v>0.20000000000000007</v>
      </c>
    </row>
    <row r="31" spans="1:18">
      <c r="B31" t="s">
        <v>25</v>
      </c>
      <c r="C31" s="3">
        <v>32500</v>
      </c>
      <c r="D31" s="3">
        <v>25</v>
      </c>
      <c r="E31" s="4">
        <v>0.20000000000000007</v>
      </c>
    </row>
    <row r="32" spans="1:18">
      <c r="A32" t="s">
        <v>26</v>
      </c>
      <c r="C32" s="3">
        <v>66500</v>
      </c>
      <c r="D32" s="3">
        <v>50</v>
      </c>
      <c r="E32" s="4">
        <v>0.19999999999999993</v>
      </c>
    </row>
    <row r="33" spans="1:5">
      <c r="A33" t="s">
        <v>10</v>
      </c>
      <c r="C33" s="3">
        <v>266000</v>
      </c>
      <c r="D33" s="3">
        <v>200</v>
      </c>
      <c r="E33" s="4">
        <v>0.20000000000000015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D8233-C592-468E-9732-211F0DD709C4}">
  <dimension ref="A1:L201"/>
  <sheetViews>
    <sheetView workbookViewId="0">
      <selection activeCell="N14" sqref="N14"/>
    </sheetView>
  </sheetViews>
  <sheetFormatPr defaultRowHeight="15"/>
  <cols>
    <col min="1" max="1" width="10.5703125" bestFit="1" customWidth="1"/>
    <col min="2" max="2" width="14" bestFit="1" customWidth="1"/>
    <col min="3" max="3" width="10.85546875" bestFit="1" customWidth="1"/>
    <col min="4" max="4" width="10.140625" bestFit="1" customWidth="1"/>
    <col min="7" max="7" width="14" bestFit="1" customWidth="1"/>
    <col min="9" max="9" width="10.42578125" bestFit="1" customWidth="1"/>
    <col min="11" max="11" width="11.7109375" bestFit="1" customWidth="1"/>
    <col min="12" max="12" width="13" bestFit="1" customWidth="1"/>
  </cols>
  <sheetData>
    <row r="1" spans="1:12">
      <c r="A1" t="s">
        <v>27</v>
      </c>
      <c r="B1" t="s">
        <v>6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9</v>
      </c>
      <c r="I1" t="s">
        <v>33</v>
      </c>
      <c r="J1" t="s">
        <v>0</v>
      </c>
      <c r="K1" t="s">
        <v>1</v>
      </c>
      <c r="L1" t="s">
        <v>34</v>
      </c>
    </row>
    <row r="2" spans="1:12">
      <c r="A2">
        <v>1</v>
      </c>
      <c r="B2" s="1">
        <v>46023</v>
      </c>
      <c r="C2">
        <v>101</v>
      </c>
      <c r="D2">
        <v>5</v>
      </c>
      <c r="E2">
        <v>5000</v>
      </c>
      <c r="F2">
        <v>1000</v>
      </c>
      <c r="G2" t="str">
        <f>VLOOKUP(C2, Sheet2!$A$2:$D$9, 2, FALSE)</f>
        <v>T-Shirt</v>
      </c>
      <c r="H2" t="str">
        <f>VLOOKUP(C2, Sheet2!$A$2:$D$9, 3, FALSE)</f>
        <v>Clothing</v>
      </c>
      <c r="I2" t="str">
        <f>VLOOKUP(A2, Sheet3!$A$2:$D$201, 3, FALSE)</f>
        <v>Hyderabad</v>
      </c>
      <c r="J2" t="str">
        <f>VLOOKUP(A2, Sheet3!$A$2:$D$201, 4, FALSE)</f>
        <v>South</v>
      </c>
      <c r="K2" t="str">
        <f>VLOOKUP(A2, Sheet3!$A$2:$D$201, 2, FALSE)</f>
        <v>FM_Hyd</v>
      </c>
      <c r="L2" s="4">
        <f>F2/E2</f>
        <v>0.2</v>
      </c>
    </row>
    <row r="3" spans="1:12">
      <c r="A3">
        <v>2</v>
      </c>
      <c r="B3" s="1">
        <v>46054</v>
      </c>
      <c r="C3">
        <v>102</v>
      </c>
      <c r="D3">
        <v>3</v>
      </c>
      <c r="E3">
        <v>6000</v>
      </c>
      <c r="F3">
        <v>1200</v>
      </c>
      <c r="G3" t="str">
        <f>VLOOKUP(C3, Sheet2!$A$2:$D$9, 2, FALSE)</f>
        <v>Jeans</v>
      </c>
      <c r="H3" t="str">
        <f>VLOOKUP(C3, Sheet2!$A$2:$D$9, 3, FALSE)</f>
        <v>Clothing</v>
      </c>
      <c r="I3" t="str">
        <f>VLOOKUP(A10, Sheet3!$A$2:$D$201, 3, FALSE)</f>
        <v>Hyderabad</v>
      </c>
      <c r="J3" t="str">
        <f>VLOOKUP(A3, Sheet3!$A$2:$D$201, 4, FALSE)</f>
        <v>South</v>
      </c>
      <c r="K3" t="str">
        <f>VLOOKUP(A3, Sheet3!$A$2:$D$201, 2, FALSE)</f>
        <v>FM_Blr</v>
      </c>
      <c r="L3" s="4">
        <f t="shared" ref="L3:L66" si="0">F3/E3</f>
        <v>0.2</v>
      </c>
    </row>
    <row r="4" spans="1:12">
      <c r="A4">
        <v>3</v>
      </c>
      <c r="B4" s="1">
        <v>46082</v>
      </c>
      <c r="C4">
        <v>103</v>
      </c>
      <c r="D4">
        <v>4</v>
      </c>
      <c r="E4">
        <v>8000</v>
      </c>
      <c r="F4">
        <v>1600</v>
      </c>
      <c r="G4" t="str">
        <f>VLOOKUP(C4, Sheet2!$A$2:$D$9, 2, FALSE)</f>
        <v>Shoes</v>
      </c>
      <c r="H4" t="str">
        <f>VLOOKUP(C4, Sheet2!$A$2:$D$9, 3, FALSE)</f>
        <v>Footwear</v>
      </c>
      <c r="I4" t="str">
        <f>VLOOKUP(A11, Sheet3!$A$2:$D$201, 3, FALSE)</f>
        <v>Bangalore</v>
      </c>
      <c r="J4" t="str">
        <f>VLOOKUP(A4, Sheet3!$A$2:$D$201, 4, FALSE)</f>
        <v>West</v>
      </c>
      <c r="K4" t="str">
        <f>VLOOKUP(A4, Sheet3!$A$2:$D$201, 2, FALSE)</f>
        <v>FM_Mum</v>
      </c>
      <c r="L4" s="4">
        <f t="shared" si="0"/>
        <v>0.2</v>
      </c>
    </row>
    <row r="5" spans="1:12">
      <c r="A5">
        <v>4</v>
      </c>
      <c r="B5" s="1">
        <v>46113</v>
      </c>
      <c r="C5">
        <v>104</v>
      </c>
      <c r="D5">
        <v>2</v>
      </c>
      <c r="E5">
        <v>4000</v>
      </c>
      <c r="F5">
        <v>800</v>
      </c>
      <c r="G5" t="str">
        <f>VLOOKUP(C5, Sheet2!$A$2:$D$9, 2, FALSE)</f>
        <v>Jacket</v>
      </c>
      <c r="H5" t="str">
        <f>VLOOKUP(C5, Sheet2!$A$2:$D$9, 3, FALSE)</f>
        <v>Clothing</v>
      </c>
      <c r="I5" t="str">
        <f>VLOOKUP(A12, Sheet3!$A$2:$D$201, 3, FALSE)</f>
        <v>Mumbai</v>
      </c>
      <c r="J5" t="str">
        <f>VLOOKUP(A5, Sheet3!$A$2:$D$201, 4, FALSE)</f>
        <v>West</v>
      </c>
      <c r="K5" t="str">
        <f>VLOOKUP(A5, Sheet3!$A$2:$D$201, 2, FALSE)</f>
        <v>FM_Pune</v>
      </c>
      <c r="L5" s="4">
        <f t="shared" si="0"/>
        <v>0.2</v>
      </c>
    </row>
    <row r="6" spans="1:12">
      <c r="A6">
        <v>5</v>
      </c>
      <c r="B6" s="1">
        <v>46143</v>
      </c>
      <c r="C6">
        <v>105</v>
      </c>
      <c r="D6">
        <v>6</v>
      </c>
      <c r="E6">
        <v>9000</v>
      </c>
      <c r="F6">
        <v>1800</v>
      </c>
      <c r="G6" t="str">
        <f>VLOOKUP(C6, Sheet2!$A$2:$D$9, 2, FALSE)</f>
        <v>Sandals</v>
      </c>
      <c r="H6" t="str">
        <f>VLOOKUP(C6, Sheet2!$A$2:$D$9, 3, FALSE)</f>
        <v>Footwear</v>
      </c>
      <c r="I6" t="str">
        <f>VLOOKUP(A13, Sheet3!$A$2:$D$201, 3, FALSE)</f>
        <v>Pune</v>
      </c>
      <c r="J6" t="str">
        <f>VLOOKUP(A6, Sheet3!$A$2:$D$201, 4, FALSE)</f>
        <v>North</v>
      </c>
      <c r="K6" t="str">
        <f>VLOOKUP(A6, Sheet3!$A$2:$D$201, 2, FALSE)</f>
        <v>FM_Del</v>
      </c>
      <c r="L6" s="4">
        <f t="shared" si="0"/>
        <v>0.2</v>
      </c>
    </row>
    <row r="7" spans="1:12">
      <c r="A7">
        <v>6</v>
      </c>
      <c r="B7" s="1">
        <v>46174</v>
      </c>
      <c r="C7">
        <v>106</v>
      </c>
      <c r="D7">
        <v>5</v>
      </c>
      <c r="E7">
        <v>7500</v>
      </c>
      <c r="F7">
        <v>1500</v>
      </c>
      <c r="G7" t="str">
        <f>VLOOKUP(C7, Sheet2!$A$2:$D$9, 2, FALSE)</f>
        <v>Shirt</v>
      </c>
      <c r="H7" t="str">
        <f>VLOOKUP(C7, Sheet2!$A$2:$D$9, 3, FALSE)</f>
        <v>Clothing</v>
      </c>
      <c r="I7" t="str">
        <f>VLOOKUP(A14, Sheet3!$A$2:$D$201, 3, FALSE)</f>
        <v>Delhi</v>
      </c>
      <c r="J7" t="str">
        <f>VLOOKUP(A7, Sheet3!$A$2:$D$201, 4, FALSE)</f>
        <v>North</v>
      </c>
      <c r="K7" t="str">
        <f>VLOOKUP(A7, Sheet3!$A$2:$D$201, 2, FALSE)</f>
        <v>FM_Jaipur</v>
      </c>
      <c r="L7" s="4">
        <f t="shared" si="0"/>
        <v>0.2</v>
      </c>
    </row>
    <row r="8" spans="1:12">
      <c r="A8">
        <v>7</v>
      </c>
      <c r="B8" s="1">
        <v>46204</v>
      </c>
      <c r="C8">
        <v>107</v>
      </c>
      <c r="D8">
        <v>3</v>
      </c>
      <c r="E8">
        <v>6000</v>
      </c>
      <c r="F8">
        <v>1200</v>
      </c>
      <c r="G8" t="str">
        <f>VLOOKUP(C8, Sheet2!$A$2:$D$9, 2, FALSE)</f>
        <v>Sneakers</v>
      </c>
      <c r="H8" t="str">
        <f>VLOOKUP(C8, Sheet2!$A$2:$D$9, 3, FALSE)</f>
        <v>Footwear</v>
      </c>
      <c r="I8" t="str">
        <f>VLOOKUP(A15, Sheet3!$A$2:$D$201, 3, FALSE)</f>
        <v>Jaipur</v>
      </c>
      <c r="J8" t="str">
        <f>VLOOKUP(A8, Sheet3!$A$2:$D$201, 4, FALSE)</f>
        <v>East</v>
      </c>
      <c r="K8" t="str">
        <f>VLOOKUP(A8, Sheet3!$A$2:$D$201, 2, FALSE)</f>
        <v>FM_Kol</v>
      </c>
      <c r="L8" s="4">
        <f t="shared" si="0"/>
        <v>0.2</v>
      </c>
    </row>
    <row r="9" spans="1:12">
      <c r="A9">
        <v>8</v>
      </c>
      <c r="B9" s="1">
        <v>46235</v>
      </c>
      <c r="C9">
        <v>108</v>
      </c>
      <c r="D9">
        <v>4</v>
      </c>
      <c r="E9">
        <v>7000</v>
      </c>
      <c r="F9">
        <v>1400</v>
      </c>
      <c r="G9" t="str">
        <f>VLOOKUP(C9, Sheet2!$A$2:$D$9, 2, FALSE)</f>
        <v>Hoodie</v>
      </c>
      <c r="H9" t="str">
        <f>VLOOKUP(C9, Sheet2!$A$2:$D$9, 3, FALSE)</f>
        <v>Clothing</v>
      </c>
      <c r="I9" t="str">
        <f>VLOOKUP(A16, Sheet3!$A$2:$D$201, 3, FALSE)</f>
        <v>Kolkata</v>
      </c>
      <c r="J9" t="str">
        <f>VLOOKUP(A9, Sheet3!$A$2:$D$201, 4, FALSE)</f>
        <v>South</v>
      </c>
      <c r="K9" t="str">
        <f>VLOOKUP(A9, Sheet3!$A$2:$D$201, 2, FALSE)</f>
        <v>FM_Chennai</v>
      </c>
      <c r="L9" s="4">
        <f t="shared" si="0"/>
        <v>0.2</v>
      </c>
    </row>
    <row r="10" spans="1:12">
      <c r="A10">
        <v>9</v>
      </c>
      <c r="B10" s="1">
        <v>46266</v>
      </c>
      <c r="C10">
        <v>101</v>
      </c>
      <c r="D10">
        <v>6</v>
      </c>
      <c r="E10">
        <v>6000</v>
      </c>
      <c r="F10">
        <v>1200</v>
      </c>
      <c r="G10" t="str">
        <f>VLOOKUP(C10, Sheet2!$A$2:$D$9, 2, FALSE)</f>
        <v>T-Shirt</v>
      </c>
      <c r="H10" t="str">
        <f>VLOOKUP(C10, Sheet2!$A$2:$D$9, 3, FALSE)</f>
        <v>Clothing</v>
      </c>
      <c r="I10" t="str">
        <f>VLOOKUP(A17, Sheet3!$A$2:$D$201, 3, FALSE)</f>
        <v>Chennai</v>
      </c>
      <c r="J10" t="str">
        <f>VLOOKUP(A10, Sheet3!$A$2:$D$201, 4, FALSE)</f>
        <v>South</v>
      </c>
      <c r="K10" t="str">
        <f>VLOOKUP(A10, Sheet3!$A$2:$D$201, 2, FALSE)</f>
        <v>FM_Hyd</v>
      </c>
      <c r="L10" s="4">
        <f t="shared" si="0"/>
        <v>0.2</v>
      </c>
    </row>
    <row r="11" spans="1:12">
      <c r="A11">
        <v>10</v>
      </c>
      <c r="B11" s="1">
        <v>46296</v>
      </c>
      <c r="C11">
        <v>102</v>
      </c>
      <c r="D11">
        <v>4</v>
      </c>
      <c r="E11">
        <v>8000</v>
      </c>
      <c r="F11">
        <v>1600</v>
      </c>
      <c r="G11" t="str">
        <f>VLOOKUP(C11, Sheet2!$A$2:$D$9, 2, FALSE)</f>
        <v>Jeans</v>
      </c>
      <c r="H11" t="str">
        <f>VLOOKUP(C11, Sheet2!$A$2:$D$9, 3, FALSE)</f>
        <v>Clothing</v>
      </c>
      <c r="I11" t="str">
        <f>VLOOKUP(A18, Sheet3!$A$2:$D$201, 3, FALSE)</f>
        <v>Hyderabad</v>
      </c>
      <c r="J11" t="str">
        <f>VLOOKUP(A11, Sheet3!$A$2:$D$201, 4, FALSE)</f>
        <v>South</v>
      </c>
      <c r="K11" t="str">
        <f>VLOOKUP(A11, Sheet3!$A$2:$D$201, 2, FALSE)</f>
        <v>FM_Blr</v>
      </c>
      <c r="L11" s="4">
        <f t="shared" si="0"/>
        <v>0.2</v>
      </c>
    </row>
    <row r="12" spans="1:12">
      <c r="A12">
        <v>11</v>
      </c>
      <c r="B12" s="1">
        <v>46023</v>
      </c>
      <c r="C12">
        <v>101</v>
      </c>
      <c r="D12">
        <v>5</v>
      </c>
      <c r="E12">
        <v>5000</v>
      </c>
      <c r="F12">
        <v>1000</v>
      </c>
      <c r="G12" t="str">
        <f>VLOOKUP(C12, Sheet2!$A$2:$D$9, 2, FALSE)</f>
        <v>T-Shirt</v>
      </c>
      <c r="H12" t="str">
        <f>VLOOKUP(C12, Sheet2!$A$2:$D$9, 3, FALSE)</f>
        <v>Clothing</v>
      </c>
      <c r="I12" t="str">
        <f>VLOOKUP(A19, Sheet3!$A$2:$D$201, 3, FALSE)</f>
        <v>Bangalore</v>
      </c>
      <c r="J12" t="str">
        <f>VLOOKUP(A12, Sheet3!$A$2:$D$201, 4, FALSE)</f>
        <v>West</v>
      </c>
      <c r="K12" t="str">
        <f>VLOOKUP(A12, Sheet3!$A$2:$D$201, 2, FALSE)</f>
        <v>FM_Mum</v>
      </c>
      <c r="L12" s="4">
        <f t="shared" si="0"/>
        <v>0.2</v>
      </c>
    </row>
    <row r="13" spans="1:12">
      <c r="A13">
        <v>12</v>
      </c>
      <c r="B13" s="1">
        <v>46054</v>
      </c>
      <c r="C13">
        <v>102</v>
      </c>
      <c r="D13">
        <v>3</v>
      </c>
      <c r="E13">
        <v>6000</v>
      </c>
      <c r="F13">
        <v>1200</v>
      </c>
      <c r="G13" t="str">
        <f>VLOOKUP(C13, Sheet2!$A$2:$D$9, 2, FALSE)</f>
        <v>Jeans</v>
      </c>
      <c r="H13" t="str">
        <f>VLOOKUP(C13, Sheet2!$A$2:$D$9, 3, FALSE)</f>
        <v>Clothing</v>
      </c>
      <c r="I13" t="str">
        <f>VLOOKUP(A20, Sheet3!$A$2:$D$201, 3, FALSE)</f>
        <v>Mumbai</v>
      </c>
      <c r="J13" t="str">
        <f>VLOOKUP(A13, Sheet3!$A$2:$D$201, 4, FALSE)</f>
        <v>West</v>
      </c>
      <c r="K13" t="str">
        <f>VLOOKUP(A13, Sheet3!$A$2:$D$201, 2, FALSE)</f>
        <v>FM_Pune</v>
      </c>
      <c r="L13" s="4">
        <f t="shared" si="0"/>
        <v>0.2</v>
      </c>
    </row>
    <row r="14" spans="1:12">
      <c r="A14">
        <v>13</v>
      </c>
      <c r="B14" s="1">
        <v>46082</v>
      </c>
      <c r="C14">
        <v>103</v>
      </c>
      <c r="D14">
        <v>4</v>
      </c>
      <c r="E14">
        <v>8000</v>
      </c>
      <c r="F14">
        <v>1600</v>
      </c>
      <c r="G14" t="str">
        <f>VLOOKUP(C14, Sheet2!$A$2:$D$9, 2, FALSE)</f>
        <v>Shoes</v>
      </c>
      <c r="H14" t="str">
        <f>VLOOKUP(C14, Sheet2!$A$2:$D$9, 3, FALSE)</f>
        <v>Footwear</v>
      </c>
      <c r="I14" t="str">
        <f>VLOOKUP(A21, Sheet3!$A$2:$D$201, 3, FALSE)</f>
        <v>Pune</v>
      </c>
      <c r="J14" t="str">
        <f>VLOOKUP(A14, Sheet3!$A$2:$D$201, 4, FALSE)</f>
        <v>North</v>
      </c>
      <c r="K14" t="str">
        <f>VLOOKUP(A14, Sheet3!$A$2:$D$201, 2, FALSE)</f>
        <v>FM_Del</v>
      </c>
      <c r="L14" s="4">
        <f t="shared" si="0"/>
        <v>0.2</v>
      </c>
    </row>
    <row r="15" spans="1:12">
      <c r="A15">
        <v>14</v>
      </c>
      <c r="B15" s="1">
        <v>46113</v>
      </c>
      <c r="C15">
        <v>104</v>
      </c>
      <c r="D15">
        <v>2</v>
      </c>
      <c r="E15">
        <v>4000</v>
      </c>
      <c r="F15">
        <v>800</v>
      </c>
      <c r="G15" t="str">
        <f>VLOOKUP(C15, Sheet2!$A$2:$D$9, 2, FALSE)</f>
        <v>Jacket</v>
      </c>
      <c r="H15" t="str">
        <f>VLOOKUP(C15, Sheet2!$A$2:$D$9, 3, FALSE)</f>
        <v>Clothing</v>
      </c>
      <c r="I15" t="str">
        <f>VLOOKUP(A22, Sheet3!$A$2:$D$201, 3, FALSE)</f>
        <v>Delhi</v>
      </c>
      <c r="J15" t="str">
        <f>VLOOKUP(A15, Sheet3!$A$2:$D$201, 4, FALSE)</f>
        <v>North</v>
      </c>
      <c r="K15" t="str">
        <f>VLOOKUP(A15, Sheet3!$A$2:$D$201, 2, FALSE)</f>
        <v>FM_Jaipur</v>
      </c>
      <c r="L15" s="4">
        <f t="shared" si="0"/>
        <v>0.2</v>
      </c>
    </row>
    <row r="16" spans="1:12">
      <c r="A16">
        <v>15</v>
      </c>
      <c r="B16" s="1">
        <v>46143</v>
      </c>
      <c r="C16">
        <v>105</v>
      </c>
      <c r="D16">
        <v>6</v>
      </c>
      <c r="E16">
        <v>9000</v>
      </c>
      <c r="F16">
        <v>1800</v>
      </c>
      <c r="G16" t="str">
        <f>VLOOKUP(C16, Sheet2!$A$2:$D$9, 2, FALSE)</f>
        <v>Sandals</v>
      </c>
      <c r="H16" t="str">
        <f>VLOOKUP(C16, Sheet2!$A$2:$D$9, 3, FALSE)</f>
        <v>Footwear</v>
      </c>
      <c r="I16" t="str">
        <f>VLOOKUP(A23, Sheet3!$A$2:$D$201, 3, FALSE)</f>
        <v>Jaipur</v>
      </c>
      <c r="J16" t="str">
        <f>VLOOKUP(A16, Sheet3!$A$2:$D$201, 4, FALSE)</f>
        <v>East</v>
      </c>
      <c r="K16" t="str">
        <f>VLOOKUP(A16, Sheet3!$A$2:$D$201, 2, FALSE)</f>
        <v>FM_Kol</v>
      </c>
      <c r="L16" s="4">
        <f t="shared" si="0"/>
        <v>0.2</v>
      </c>
    </row>
    <row r="17" spans="1:12">
      <c r="A17">
        <v>16</v>
      </c>
      <c r="B17" s="1">
        <v>46174</v>
      </c>
      <c r="C17">
        <v>106</v>
      </c>
      <c r="D17">
        <v>5</v>
      </c>
      <c r="E17">
        <v>7500</v>
      </c>
      <c r="F17">
        <v>1500</v>
      </c>
      <c r="G17" t="str">
        <f>VLOOKUP(C17, Sheet2!$A$2:$D$9, 2, FALSE)</f>
        <v>Shirt</v>
      </c>
      <c r="H17" t="str">
        <f>VLOOKUP(C17, Sheet2!$A$2:$D$9, 3, FALSE)</f>
        <v>Clothing</v>
      </c>
      <c r="I17" t="str">
        <f>VLOOKUP(A24, Sheet3!$A$2:$D$201, 3, FALSE)</f>
        <v>Kolkata</v>
      </c>
      <c r="J17" t="str">
        <f>VLOOKUP(A17, Sheet3!$A$2:$D$201, 4, FALSE)</f>
        <v>South</v>
      </c>
      <c r="K17" t="str">
        <f>VLOOKUP(A17, Sheet3!$A$2:$D$201, 2, FALSE)</f>
        <v>FM_Chennai</v>
      </c>
      <c r="L17" s="4">
        <f t="shared" si="0"/>
        <v>0.2</v>
      </c>
    </row>
    <row r="18" spans="1:12">
      <c r="A18">
        <v>17</v>
      </c>
      <c r="B18" s="1">
        <v>46204</v>
      </c>
      <c r="C18">
        <v>107</v>
      </c>
      <c r="D18">
        <v>3</v>
      </c>
      <c r="E18">
        <v>6000</v>
      </c>
      <c r="F18">
        <v>1200</v>
      </c>
      <c r="G18" t="str">
        <f>VLOOKUP(C18, Sheet2!$A$2:$D$9, 2, FALSE)</f>
        <v>Sneakers</v>
      </c>
      <c r="H18" t="str">
        <f>VLOOKUP(C18, Sheet2!$A$2:$D$9, 3, FALSE)</f>
        <v>Footwear</v>
      </c>
      <c r="I18" t="str">
        <f>VLOOKUP(A25, Sheet3!$A$2:$D$201, 3, FALSE)</f>
        <v>Chennai</v>
      </c>
      <c r="J18" t="str">
        <f>VLOOKUP(A18, Sheet3!$A$2:$D$201, 4, FALSE)</f>
        <v>South</v>
      </c>
      <c r="K18" t="str">
        <f>VLOOKUP(A18, Sheet3!$A$2:$D$201, 2, FALSE)</f>
        <v>FM_Hyd</v>
      </c>
      <c r="L18" s="4">
        <f t="shared" si="0"/>
        <v>0.2</v>
      </c>
    </row>
    <row r="19" spans="1:12">
      <c r="A19">
        <v>18</v>
      </c>
      <c r="B19" s="1">
        <v>46235</v>
      </c>
      <c r="C19">
        <v>108</v>
      </c>
      <c r="D19">
        <v>4</v>
      </c>
      <c r="E19">
        <v>7000</v>
      </c>
      <c r="F19">
        <v>1400</v>
      </c>
      <c r="G19" t="str">
        <f>VLOOKUP(C19, Sheet2!$A$2:$D$9, 2, FALSE)</f>
        <v>Hoodie</v>
      </c>
      <c r="H19" t="str">
        <f>VLOOKUP(C19, Sheet2!$A$2:$D$9, 3, FALSE)</f>
        <v>Clothing</v>
      </c>
      <c r="I19" t="str">
        <f>VLOOKUP(A26, Sheet3!$A$2:$D$201, 3, FALSE)</f>
        <v>Hyderabad</v>
      </c>
      <c r="J19" t="str">
        <f>VLOOKUP(A19, Sheet3!$A$2:$D$201, 4, FALSE)</f>
        <v>South</v>
      </c>
      <c r="K19" t="str">
        <f>VLOOKUP(A19, Sheet3!$A$2:$D$201, 2, FALSE)</f>
        <v>FM_Blr</v>
      </c>
      <c r="L19" s="4">
        <f t="shared" si="0"/>
        <v>0.2</v>
      </c>
    </row>
    <row r="20" spans="1:12">
      <c r="A20">
        <v>19</v>
      </c>
      <c r="B20" s="1">
        <v>46266</v>
      </c>
      <c r="C20">
        <v>101</v>
      </c>
      <c r="D20">
        <v>6</v>
      </c>
      <c r="E20">
        <v>6000</v>
      </c>
      <c r="F20">
        <v>1200</v>
      </c>
      <c r="G20" t="str">
        <f>VLOOKUP(C20, Sheet2!$A$2:$D$9, 2, FALSE)</f>
        <v>T-Shirt</v>
      </c>
      <c r="H20" t="str">
        <f>VLOOKUP(C20, Sheet2!$A$2:$D$9, 3, FALSE)</f>
        <v>Clothing</v>
      </c>
      <c r="I20" t="str">
        <f>VLOOKUP(A27, Sheet3!$A$2:$D$201, 3, FALSE)</f>
        <v>Bangalore</v>
      </c>
      <c r="J20" t="str">
        <f>VLOOKUP(A20, Sheet3!$A$2:$D$201, 4, FALSE)</f>
        <v>West</v>
      </c>
      <c r="K20" t="str">
        <f>VLOOKUP(A20, Sheet3!$A$2:$D$201, 2, FALSE)</f>
        <v>FM_Mum</v>
      </c>
      <c r="L20" s="4">
        <f t="shared" si="0"/>
        <v>0.2</v>
      </c>
    </row>
    <row r="21" spans="1:12">
      <c r="A21">
        <v>20</v>
      </c>
      <c r="B21" s="1">
        <v>46296</v>
      </c>
      <c r="C21">
        <v>102</v>
      </c>
      <c r="D21">
        <v>4</v>
      </c>
      <c r="E21">
        <v>8000</v>
      </c>
      <c r="F21">
        <v>1600</v>
      </c>
      <c r="G21" t="str">
        <f>VLOOKUP(C21, Sheet2!$A$2:$D$9, 2, FALSE)</f>
        <v>Jeans</v>
      </c>
      <c r="H21" t="str">
        <f>VLOOKUP(C21, Sheet2!$A$2:$D$9, 3, FALSE)</f>
        <v>Clothing</v>
      </c>
      <c r="I21" t="str">
        <f>VLOOKUP(A28, Sheet3!$A$2:$D$201, 3, FALSE)</f>
        <v>Mumbai</v>
      </c>
      <c r="J21" t="str">
        <f>VLOOKUP(A21, Sheet3!$A$2:$D$201, 4, FALSE)</f>
        <v>West</v>
      </c>
      <c r="K21" t="str">
        <f>VLOOKUP(A21, Sheet3!$A$2:$D$201, 2, FALSE)</f>
        <v>FM_Pune</v>
      </c>
      <c r="L21" s="4">
        <f t="shared" si="0"/>
        <v>0.2</v>
      </c>
    </row>
    <row r="22" spans="1:12">
      <c r="A22">
        <v>21</v>
      </c>
      <c r="B22" s="1">
        <v>46023</v>
      </c>
      <c r="C22">
        <v>101</v>
      </c>
      <c r="D22">
        <v>5</v>
      </c>
      <c r="E22">
        <v>5000</v>
      </c>
      <c r="F22">
        <v>1000</v>
      </c>
      <c r="G22" t="str">
        <f>VLOOKUP(C22, Sheet2!$A$2:$D$9, 2, FALSE)</f>
        <v>T-Shirt</v>
      </c>
      <c r="H22" t="str">
        <f>VLOOKUP(C22, Sheet2!$A$2:$D$9, 3, FALSE)</f>
        <v>Clothing</v>
      </c>
      <c r="I22" t="str">
        <f>VLOOKUP(A29, Sheet3!$A$2:$D$201, 3, FALSE)</f>
        <v>Pune</v>
      </c>
      <c r="J22" t="str">
        <f>VLOOKUP(A22, Sheet3!$A$2:$D$201, 4, FALSE)</f>
        <v>North</v>
      </c>
      <c r="K22" t="str">
        <f>VLOOKUP(A22, Sheet3!$A$2:$D$201, 2, FALSE)</f>
        <v>FM_Del</v>
      </c>
      <c r="L22" s="4">
        <f t="shared" si="0"/>
        <v>0.2</v>
      </c>
    </row>
    <row r="23" spans="1:12">
      <c r="A23">
        <v>22</v>
      </c>
      <c r="B23" s="1">
        <v>46054</v>
      </c>
      <c r="C23">
        <v>102</v>
      </c>
      <c r="D23">
        <v>3</v>
      </c>
      <c r="E23">
        <v>6000</v>
      </c>
      <c r="F23">
        <v>1200</v>
      </c>
      <c r="G23" t="str">
        <f>VLOOKUP(C23, Sheet2!$A$2:$D$9, 2, FALSE)</f>
        <v>Jeans</v>
      </c>
      <c r="H23" t="str">
        <f>VLOOKUP(C23, Sheet2!$A$2:$D$9, 3, FALSE)</f>
        <v>Clothing</v>
      </c>
      <c r="I23" t="str">
        <f>VLOOKUP(A30, Sheet3!$A$2:$D$201, 3, FALSE)</f>
        <v>Delhi</v>
      </c>
      <c r="J23" t="str">
        <f>VLOOKUP(A23, Sheet3!$A$2:$D$201, 4, FALSE)</f>
        <v>North</v>
      </c>
      <c r="K23" t="str">
        <f>VLOOKUP(A23, Sheet3!$A$2:$D$201, 2, FALSE)</f>
        <v>FM_Jaipur</v>
      </c>
      <c r="L23" s="4">
        <f t="shared" si="0"/>
        <v>0.2</v>
      </c>
    </row>
    <row r="24" spans="1:12">
      <c r="A24">
        <v>23</v>
      </c>
      <c r="B24" s="1">
        <v>46082</v>
      </c>
      <c r="C24">
        <v>103</v>
      </c>
      <c r="D24">
        <v>4</v>
      </c>
      <c r="E24">
        <v>8000</v>
      </c>
      <c r="F24">
        <v>1600</v>
      </c>
      <c r="G24" t="str">
        <f>VLOOKUP(C24, Sheet2!$A$2:$D$9, 2, FALSE)</f>
        <v>Shoes</v>
      </c>
      <c r="H24" t="str">
        <f>VLOOKUP(C24, Sheet2!$A$2:$D$9, 3, FALSE)</f>
        <v>Footwear</v>
      </c>
      <c r="I24" t="str">
        <f>VLOOKUP(A31, Sheet3!$A$2:$D$201, 3, FALSE)</f>
        <v>Jaipur</v>
      </c>
      <c r="J24" t="str">
        <f>VLOOKUP(A24, Sheet3!$A$2:$D$201, 4, FALSE)</f>
        <v>East</v>
      </c>
      <c r="K24" t="str">
        <f>VLOOKUP(A24, Sheet3!$A$2:$D$201, 2, FALSE)</f>
        <v>FM_Kol</v>
      </c>
      <c r="L24" s="4">
        <f t="shared" si="0"/>
        <v>0.2</v>
      </c>
    </row>
    <row r="25" spans="1:12">
      <c r="A25">
        <v>24</v>
      </c>
      <c r="B25" s="1">
        <v>46113</v>
      </c>
      <c r="C25">
        <v>104</v>
      </c>
      <c r="D25">
        <v>2</v>
      </c>
      <c r="E25">
        <v>4000</v>
      </c>
      <c r="F25">
        <v>800</v>
      </c>
      <c r="G25" t="str">
        <f>VLOOKUP(C25, Sheet2!$A$2:$D$9, 2, FALSE)</f>
        <v>Jacket</v>
      </c>
      <c r="H25" t="str">
        <f>VLOOKUP(C25, Sheet2!$A$2:$D$9, 3, FALSE)</f>
        <v>Clothing</v>
      </c>
      <c r="I25" t="str">
        <f>VLOOKUP(A32, Sheet3!$A$2:$D$201, 3, FALSE)</f>
        <v>Kolkata</v>
      </c>
      <c r="J25" t="str">
        <f>VLOOKUP(A25, Sheet3!$A$2:$D$201, 4, FALSE)</f>
        <v>South</v>
      </c>
      <c r="K25" t="str">
        <f>VLOOKUP(A25, Sheet3!$A$2:$D$201, 2, FALSE)</f>
        <v>FM_Chennai</v>
      </c>
      <c r="L25" s="4">
        <f t="shared" si="0"/>
        <v>0.2</v>
      </c>
    </row>
    <row r="26" spans="1:12">
      <c r="A26">
        <v>25</v>
      </c>
      <c r="B26" s="1">
        <v>46143</v>
      </c>
      <c r="C26">
        <v>105</v>
      </c>
      <c r="D26">
        <v>6</v>
      </c>
      <c r="E26">
        <v>9000</v>
      </c>
      <c r="F26">
        <v>1800</v>
      </c>
      <c r="G26" t="str">
        <f>VLOOKUP(C26, Sheet2!$A$2:$D$9, 2, FALSE)</f>
        <v>Sandals</v>
      </c>
      <c r="H26" t="str">
        <f>VLOOKUP(C26, Sheet2!$A$2:$D$9, 3, FALSE)</f>
        <v>Footwear</v>
      </c>
      <c r="I26" t="str">
        <f>VLOOKUP(A33, Sheet3!$A$2:$D$201, 3, FALSE)</f>
        <v>Chennai</v>
      </c>
      <c r="J26" t="str">
        <f>VLOOKUP(A26, Sheet3!$A$2:$D$201, 4, FALSE)</f>
        <v>South</v>
      </c>
      <c r="K26" t="str">
        <f>VLOOKUP(A26, Sheet3!$A$2:$D$201, 2, FALSE)</f>
        <v>FM_Hyd</v>
      </c>
      <c r="L26" s="4">
        <f t="shared" si="0"/>
        <v>0.2</v>
      </c>
    </row>
    <row r="27" spans="1:12">
      <c r="A27">
        <v>26</v>
      </c>
      <c r="B27" s="1">
        <v>46174</v>
      </c>
      <c r="C27">
        <v>106</v>
      </c>
      <c r="D27">
        <v>5</v>
      </c>
      <c r="E27">
        <v>7500</v>
      </c>
      <c r="F27">
        <v>1500</v>
      </c>
      <c r="G27" t="str">
        <f>VLOOKUP(C27, Sheet2!$A$2:$D$9, 2, FALSE)</f>
        <v>Shirt</v>
      </c>
      <c r="H27" t="str">
        <f>VLOOKUP(C27, Sheet2!$A$2:$D$9, 3, FALSE)</f>
        <v>Clothing</v>
      </c>
      <c r="I27" t="str">
        <f>VLOOKUP(A34, Sheet3!$A$2:$D$201, 3, FALSE)</f>
        <v>Hyderabad</v>
      </c>
      <c r="J27" t="str">
        <f>VLOOKUP(A27, Sheet3!$A$2:$D$201, 4, FALSE)</f>
        <v>South</v>
      </c>
      <c r="K27" t="str">
        <f>VLOOKUP(A27, Sheet3!$A$2:$D$201, 2, FALSE)</f>
        <v>FM_Blr</v>
      </c>
      <c r="L27" s="4">
        <f t="shared" si="0"/>
        <v>0.2</v>
      </c>
    </row>
    <row r="28" spans="1:12">
      <c r="A28">
        <v>27</v>
      </c>
      <c r="B28" s="1">
        <v>46204</v>
      </c>
      <c r="C28">
        <v>107</v>
      </c>
      <c r="D28">
        <v>3</v>
      </c>
      <c r="E28">
        <v>6000</v>
      </c>
      <c r="F28">
        <v>1200</v>
      </c>
      <c r="G28" t="str">
        <f>VLOOKUP(C28, Sheet2!$A$2:$D$9, 2, FALSE)</f>
        <v>Sneakers</v>
      </c>
      <c r="H28" t="str">
        <f>VLOOKUP(C28, Sheet2!$A$2:$D$9, 3, FALSE)</f>
        <v>Footwear</v>
      </c>
      <c r="I28" t="str">
        <f>VLOOKUP(A35, Sheet3!$A$2:$D$201, 3, FALSE)</f>
        <v>Bangalore</v>
      </c>
      <c r="J28" t="str">
        <f>VLOOKUP(A28, Sheet3!$A$2:$D$201, 4, FALSE)</f>
        <v>West</v>
      </c>
      <c r="K28" t="str">
        <f>VLOOKUP(A28, Sheet3!$A$2:$D$201, 2, FALSE)</f>
        <v>FM_Mum</v>
      </c>
      <c r="L28" s="4">
        <f t="shared" si="0"/>
        <v>0.2</v>
      </c>
    </row>
    <row r="29" spans="1:12">
      <c r="A29">
        <v>28</v>
      </c>
      <c r="B29" s="1">
        <v>46235</v>
      </c>
      <c r="C29">
        <v>108</v>
      </c>
      <c r="D29">
        <v>4</v>
      </c>
      <c r="E29">
        <v>7000</v>
      </c>
      <c r="F29">
        <v>1400</v>
      </c>
      <c r="G29" t="str">
        <f>VLOOKUP(C29, Sheet2!$A$2:$D$9, 2, FALSE)</f>
        <v>Hoodie</v>
      </c>
      <c r="H29" t="str">
        <f>VLOOKUP(C29, Sheet2!$A$2:$D$9, 3, FALSE)</f>
        <v>Clothing</v>
      </c>
      <c r="I29" t="str">
        <f>VLOOKUP(A36, Sheet3!$A$2:$D$201, 3, FALSE)</f>
        <v>Mumbai</v>
      </c>
      <c r="J29" t="str">
        <f>VLOOKUP(A29, Sheet3!$A$2:$D$201, 4, FALSE)</f>
        <v>West</v>
      </c>
      <c r="K29" t="str">
        <f>VLOOKUP(A29, Sheet3!$A$2:$D$201, 2, FALSE)</f>
        <v>FM_Pune</v>
      </c>
      <c r="L29" s="4">
        <f t="shared" si="0"/>
        <v>0.2</v>
      </c>
    </row>
    <row r="30" spans="1:12">
      <c r="A30">
        <v>29</v>
      </c>
      <c r="B30" s="1">
        <v>46266</v>
      </c>
      <c r="C30">
        <v>101</v>
      </c>
      <c r="D30">
        <v>6</v>
      </c>
      <c r="E30">
        <v>6000</v>
      </c>
      <c r="F30">
        <v>1200</v>
      </c>
      <c r="G30" t="str">
        <f>VLOOKUP(C30, Sheet2!$A$2:$D$9, 2, FALSE)</f>
        <v>T-Shirt</v>
      </c>
      <c r="H30" t="str">
        <f>VLOOKUP(C30, Sheet2!$A$2:$D$9, 3, FALSE)</f>
        <v>Clothing</v>
      </c>
      <c r="I30" t="str">
        <f>VLOOKUP(A37, Sheet3!$A$2:$D$201, 3, FALSE)</f>
        <v>Pune</v>
      </c>
      <c r="J30" t="str">
        <f>VLOOKUP(A30, Sheet3!$A$2:$D$201, 4, FALSE)</f>
        <v>North</v>
      </c>
      <c r="K30" t="str">
        <f>VLOOKUP(A30, Sheet3!$A$2:$D$201, 2, FALSE)</f>
        <v>FM_Del</v>
      </c>
      <c r="L30" s="4">
        <f t="shared" si="0"/>
        <v>0.2</v>
      </c>
    </row>
    <row r="31" spans="1:12">
      <c r="A31">
        <v>30</v>
      </c>
      <c r="B31" s="1">
        <v>46296</v>
      </c>
      <c r="C31">
        <v>102</v>
      </c>
      <c r="D31">
        <v>4</v>
      </c>
      <c r="E31">
        <v>8000</v>
      </c>
      <c r="F31">
        <v>1600</v>
      </c>
      <c r="G31" t="str">
        <f>VLOOKUP(C31, Sheet2!$A$2:$D$9, 2, FALSE)</f>
        <v>Jeans</v>
      </c>
      <c r="H31" t="str">
        <f>VLOOKUP(C31, Sheet2!$A$2:$D$9, 3, FALSE)</f>
        <v>Clothing</v>
      </c>
      <c r="I31" t="str">
        <f>VLOOKUP(A38, Sheet3!$A$2:$D$201, 3, FALSE)</f>
        <v>Delhi</v>
      </c>
      <c r="J31" t="str">
        <f>VLOOKUP(A31, Sheet3!$A$2:$D$201, 4, FALSE)</f>
        <v>North</v>
      </c>
      <c r="K31" t="str">
        <f>VLOOKUP(A31, Sheet3!$A$2:$D$201, 2, FALSE)</f>
        <v>FM_Jaipur</v>
      </c>
      <c r="L31" s="4">
        <f t="shared" si="0"/>
        <v>0.2</v>
      </c>
    </row>
    <row r="32" spans="1:12">
      <c r="A32">
        <v>31</v>
      </c>
      <c r="B32" s="1">
        <v>46023</v>
      </c>
      <c r="C32">
        <v>101</v>
      </c>
      <c r="D32">
        <v>5</v>
      </c>
      <c r="E32">
        <v>5000</v>
      </c>
      <c r="F32">
        <v>1000</v>
      </c>
      <c r="G32" t="str">
        <f>VLOOKUP(C32, Sheet2!$A$2:$D$9, 2, FALSE)</f>
        <v>T-Shirt</v>
      </c>
      <c r="H32" t="str">
        <f>VLOOKUP(C32, Sheet2!$A$2:$D$9, 3, FALSE)</f>
        <v>Clothing</v>
      </c>
      <c r="I32" t="str">
        <f>VLOOKUP(A39, Sheet3!$A$2:$D$201, 3, FALSE)</f>
        <v>Jaipur</v>
      </c>
      <c r="J32" t="str">
        <f>VLOOKUP(A32, Sheet3!$A$2:$D$201, 4, FALSE)</f>
        <v>East</v>
      </c>
      <c r="K32" t="str">
        <f>VLOOKUP(A32, Sheet3!$A$2:$D$201, 2, FALSE)</f>
        <v>FM_Kol</v>
      </c>
      <c r="L32" s="4">
        <f t="shared" si="0"/>
        <v>0.2</v>
      </c>
    </row>
    <row r="33" spans="1:12">
      <c r="A33">
        <v>32</v>
      </c>
      <c r="B33" s="1">
        <v>46054</v>
      </c>
      <c r="C33">
        <v>102</v>
      </c>
      <c r="D33">
        <v>3</v>
      </c>
      <c r="E33">
        <v>6000</v>
      </c>
      <c r="F33">
        <v>1200</v>
      </c>
      <c r="G33" t="str">
        <f>VLOOKUP(C33, Sheet2!$A$2:$D$9, 2, FALSE)</f>
        <v>Jeans</v>
      </c>
      <c r="H33" t="str">
        <f>VLOOKUP(C33, Sheet2!$A$2:$D$9, 3, FALSE)</f>
        <v>Clothing</v>
      </c>
      <c r="I33" t="str">
        <f>VLOOKUP(A40, Sheet3!$A$2:$D$201, 3, FALSE)</f>
        <v>Kolkata</v>
      </c>
      <c r="J33" t="str">
        <f>VLOOKUP(A33, Sheet3!$A$2:$D$201, 4, FALSE)</f>
        <v>South</v>
      </c>
      <c r="K33" t="str">
        <f>VLOOKUP(A33, Sheet3!$A$2:$D$201, 2, FALSE)</f>
        <v>FM_Chennai</v>
      </c>
      <c r="L33" s="4">
        <f t="shared" si="0"/>
        <v>0.2</v>
      </c>
    </row>
    <row r="34" spans="1:12">
      <c r="A34">
        <v>33</v>
      </c>
      <c r="B34" s="1">
        <v>46082</v>
      </c>
      <c r="C34">
        <v>103</v>
      </c>
      <c r="D34">
        <v>4</v>
      </c>
      <c r="E34">
        <v>8000</v>
      </c>
      <c r="F34">
        <v>1600</v>
      </c>
      <c r="G34" t="str">
        <f>VLOOKUP(C34, Sheet2!$A$2:$D$9, 2, FALSE)</f>
        <v>Shoes</v>
      </c>
      <c r="H34" t="str">
        <f>VLOOKUP(C34, Sheet2!$A$2:$D$9, 3, FALSE)</f>
        <v>Footwear</v>
      </c>
      <c r="I34" t="str">
        <f>VLOOKUP(A41, Sheet3!$A$2:$D$201, 3, FALSE)</f>
        <v>Chennai</v>
      </c>
      <c r="J34" t="str">
        <f>VLOOKUP(A34, Sheet3!$A$2:$D$201, 4, FALSE)</f>
        <v>South</v>
      </c>
      <c r="K34" t="str">
        <f>VLOOKUP(A34, Sheet3!$A$2:$D$201, 2, FALSE)</f>
        <v>FM_Hyd</v>
      </c>
      <c r="L34" s="4">
        <f t="shared" si="0"/>
        <v>0.2</v>
      </c>
    </row>
    <row r="35" spans="1:12">
      <c r="A35">
        <v>34</v>
      </c>
      <c r="B35" s="1">
        <v>46113</v>
      </c>
      <c r="C35">
        <v>104</v>
      </c>
      <c r="D35">
        <v>2</v>
      </c>
      <c r="E35">
        <v>4000</v>
      </c>
      <c r="F35">
        <v>800</v>
      </c>
      <c r="G35" t="str">
        <f>VLOOKUP(C35, Sheet2!$A$2:$D$9, 2, FALSE)</f>
        <v>Jacket</v>
      </c>
      <c r="H35" t="str">
        <f>VLOOKUP(C35, Sheet2!$A$2:$D$9, 3, FALSE)</f>
        <v>Clothing</v>
      </c>
      <c r="I35" t="str">
        <f>VLOOKUP(A42, Sheet3!$A$2:$D$201, 3, FALSE)</f>
        <v>Hyderabad</v>
      </c>
      <c r="J35" t="str">
        <f>VLOOKUP(A35, Sheet3!$A$2:$D$201, 4, FALSE)</f>
        <v>South</v>
      </c>
      <c r="K35" t="str">
        <f>VLOOKUP(A35, Sheet3!$A$2:$D$201, 2, FALSE)</f>
        <v>FM_Blr</v>
      </c>
      <c r="L35" s="4">
        <f t="shared" si="0"/>
        <v>0.2</v>
      </c>
    </row>
    <row r="36" spans="1:12">
      <c r="A36">
        <v>35</v>
      </c>
      <c r="B36" s="1">
        <v>46143</v>
      </c>
      <c r="C36">
        <v>105</v>
      </c>
      <c r="D36">
        <v>6</v>
      </c>
      <c r="E36">
        <v>9000</v>
      </c>
      <c r="F36">
        <v>1800</v>
      </c>
      <c r="G36" t="str">
        <f>VLOOKUP(C36, Sheet2!$A$2:$D$9, 2, FALSE)</f>
        <v>Sandals</v>
      </c>
      <c r="H36" t="str">
        <f>VLOOKUP(C36, Sheet2!$A$2:$D$9, 3, FALSE)</f>
        <v>Footwear</v>
      </c>
      <c r="I36" t="str">
        <f>VLOOKUP(A43, Sheet3!$A$2:$D$201, 3, FALSE)</f>
        <v>Bangalore</v>
      </c>
      <c r="J36" t="str">
        <f>VLOOKUP(A36, Sheet3!$A$2:$D$201, 4, FALSE)</f>
        <v>West</v>
      </c>
      <c r="K36" t="str">
        <f>VLOOKUP(A36, Sheet3!$A$2:$D$201, 2, FALSE)</f>
        <v>FM_Mum</v>
      </c>
      <c r="L36" s="4">
        <f t="shared" si="0"/>
        <v>0.2</v>
      </c>
    </row>
    <row r="37" spans="1:12">
      <c r="A37">
        <v>36</v>
      </c>
      <c r="B37" s="1">
        <v>46174</v>
      </c>
      <c r="C37">
        <v>106</v>
      </c>
      <c r="D37">
        <v>5</v>
      </c>
      <c r="E37">
        <v>7500</v>
      </c>
      <c r="F37">
        <v>1500</v>
      </c>
      <c r="G37" t="str">
        <f>VLOOKUP(C37, Sheet2!$A$2:$D$9, 2, FALSE)</f>
        <v>Shirt</v>
      </c>
      <c r="H37" t="str">
        <f>VLOOKUP(C37, Sheet2!$A$2:$D$9, 3, FALSE)</f>
        <v>Clothing</v>
      </c>
      <c r="I37" t="str">
        <f>VLOOKUP(A44, Sheet3!$A$2:$D$201, 3, FALSE)</f>
        <v>Mumbai</v>
      </c>
      <c r="J37" t="str">
        <f>VLOOKUP(A37, Sheet3!$A$2:$D$201, 4, FALSE)</f>
        <v>West</v>
      </c>
      <c r="K37" t="str">
        <f>VLOOKUP(A37, Sheet3!$A$2:$D$201, 2, FALSE)</f>
        <v>FM_Pune</v>
      </c>
      <c r="L37" s="4">
        <f t="shared" si="0"/>
        <v>0.2</v>
      </c>
    </row>
    <row r="38" spans="1:12">
      <c r="A38">
        <v>37</v>
      </c>
      <c r="B38" s="1">
        <v>46204</v>
      </c>
      <c r="C38">
        <v>107</v>
      </c>
      <c r="D38">
        <v>3</v>
      </c>
      <c r="E38">
        <v>6000</v>
      </c>
      <c r="F38">
        <v>1200</v>
      </c>
      <c r="G38" t="str">
        <f>VLOOKUP(C38, Sheet2!$A$2:$D$9, 2, FALSE)</f>
        <v>Sneakers</v>
      </c>
      <c r="H38" t="str">
        <f>VLOOKUP(C38, Sheet2!$A$2:$D$9, 3, FALSE)</f>
        <v>Footwear</v>
      </c>
      <c r="I38" t="str">
        <f>VLOOKUP(A45, Sheet3!$A$2:$D$201, 3, FALSE)</f>
        <v>Pune</v>
      </c>
      <c r="J38" t="str">
        <f>VLOOKUP(A38, Sheet3!$A$2:$D$201, 4, FALSE)</f>
        <v>North</v>
      </c>
      <c r="K38" t="str">
        <f>VLOOKUP(A38, Sheet3!$A$2:$D$201, 2, FALSE)</f>
        <v>FM_Del</v>
      </c>
      <c r="L38" s="4">
        <f t="shared" si="0"/>
        <v>0.2</v>
      </c>
    </row>
    <row r="39" spans="1:12">
      <c r="A39">
        <v>38</v>
      </c>
      <c r="B39" s="1">
        <v>46235</v>
      </c>
      <c r="C39">
        <v>108</v>
      </c>
      <c r="D39">
        <v>4</v>
      </c>
      <c r="E39">
        <v>7000</v>
      </c>
      <c r="F39">
        <v>1400</v>
      </c>
      <c r="G39" t="str">
        <f>VLOOKUP(C39, Sheet2!$A$2:$D$9, 2, FALSE)</f>
        <v>Hoodie</v>
      </c>
      <c r="H39" t="str">
        <f>VLOOKUP(C39, Sheet2!$A$2:$D$9, 3, FALSE)</f>
        <v>Clothing</v>
      </c>
      <c r="I39" t="str">
        <f>VLOOKUP(A46, Sheet3!$A$2:$D$201, 3, FALSE)</f>
        <v>Delhi</v>
      </c>
      <c r="J39" t="str">
        <f>VLOOKUP(A39, Sheet3!$A$2:$D$201, 4, FALSE)</f>
        <v>North</v>
      </c>
      <c r="K39" t="str">
        <f>VLOOKUP(A39, Sheet3!$A$2:$D$201, 2, FALSE)</f>
        <v>FM_Jaipur</v>
      </c>
      <c r="L39" s="4">
        <f t="shared" si="0"/>
        <v>0.2</v>
      </c>
    </row>
    <row r="40" spans="1:12">
      <c r="A40">
        <v>39</v>
      </c>
      <c r="B40" s="1">
        <v>46266</v>
      </c>
      <c r="C40">
        <v>101</v>
      </c>
      <c r="D40">
        <v>6</v>
      </c>
      <c r="E40">
        <v>6000</v>
      </c>
      <c r="F40">
        <v>1200</v>
      </c>
      <c r="G40" t="str">
        <f>VLOOKUP(C40, Sheet2!$A$2:$D$9, 2, FALSE)</f>
        <v>T-Shirt</v>
      </c>
      <c r="H40" t="str">
        <f>VLOOKUP(C40, Sheet2!$A$2:$D$9, 3, FALSE)</f>
        <v>Clothing</v>
      </c>
      <c r="I40" t="str">
        <f>VLOOKUP(A47, Sheet3!$A$2:$D$201, 3, FALSE)</f>
        <v>Jaipur</v>
      </c>
      <c r="J40" t="str">
        <f>VLOOKUP(A40, Sheet3!$A$2:$D$201, 4, FALSE)</f>
        <v>East</v>
      </c>
      <c r="K40" t="str">
        <f>VLOOKUP(A40, Sheet3!$A$2:$D$201, 2, FALSE)</f>
        <v>FM_Kol</v>
      </c>
      <c r="L40" s="4">
        <f t="shared" si="0"/>
        <v>0.2</v>
      </c>
    </row>
    <row r="41" spans="1:12">
      <c r="A41">
        <v>40</v>
      </c>
      <c r="B41" s="1">
        <v>46296</v>
      </c>
      <c r="C41">
        <v>102</v>
      </c>
      <c r="D41">
        <v>4</v>
      </c>
      <c r="E41">
        <v>8000</v>
      </c>
      <c r="F41">
        <v>1600</v>
      </c>
      <c r="G41" t="str">
        <f>VLOOKUP(C41, Sheet2!$A$2:$D$9, 2, FALSE)</f>
        <v>Jeans</v>
      </c>
      <c r="H41" t="str">
        <f>VLOOKUP(C41, Sheet2!$A$2:$D$9, 3, FALSE)</f>
        <v>Clothing</v>
      </c>
      <c r="I41" t="str">
        <f>VLOOKUP(A48, Sheet3!$A$2:$D$201, 3, FALSE)</f>
        <v>Kolkata</v>
      </c>
      <c r="J41" t="str">
        <f>VLOOKUP(A41, Sheet3!$A$2:$D$201, 4, FALSE)</f>
        <v>South</v>
      </c>
      <c r="K41" t="str">
        <f>VLOOKUP(A41, Sheet3!$A$2:$D$201, 2, FALSE)</f>
        <v>FM_Chennai</v>
      </c>
      <c r="L41" s="4">
        <f t="shared" si="0"/>
        <v>0.2</v>
      </c>
    </row>
    <row r="42" spans="1:12">
      <c r="A42">
        <v>41</v>
      </c>
      <c r="B42" s="1">
        <v>46023</v>
      </c>
      <c r="C42">
        <v>101</v>
      </c>
      <c r="D42">
        <v>5</v>
      </c>
      <c r="E42">
        <v>5000</v>
      </c>
      <c r="F42">
        <v>1000</v>
      </c>
      <c r="G42" t="str">
        <f>VLOOKUP(C42, Sheet2!$A$2:$D$9, 2, FALSE)</f>
        <v>T-Shirt</v>
      </c>
      <c r="H42" t="str">
        <f>VLOOKUP(C42, Sheet2!$A$2:$D$9, 3, FALSE)</f>
        <v>Clothing</v>
      </c>
      <c r="I42" t="str">
        <f>VLOOKUP(A49, Sheet3!$A$2:$D$201, 3, FALSE)</f>
        <v>Chennai</v>
      </c>
      <c r="J42" t="str">
        <f>VLOOKUP(A42, Sheet3!$A$2:$D$201, 4, FALSE)</f>
        <v>South</v>
      </c>
      <c r="K42" t="str">
        <f>VLOOKUP(A42, Sheet3!$A$2:$D$201, 2, FALSE)</f>
        <v>FM_Hyd</v>
      </c>
      <c r="L42" s="4">
        <f t="shared" si="0"/>
        <v>0.2</v>
      </c>
    </row>
    <row r="43" spans="1:12">
      <c r="A43">
        <v>42</v>
      </c>
      <c r="B43" s="1">
        <v>46054</v>
      </c>
      <c r="C43">
        <v>102</v>
      </c>
      <c r="D43">
        <v>3</v>
      </c>
      <c r="E43">
        <v>6000</v>
      </c>
      <c r="F43">
        <v>1200</v>
      </c>
      <c r="G43" t="str">
        <f>VLOOKUP(C43, Sheet2!$A$2:$D$9, 2, FALSE)</f>
        <v>Jeans</v>
      </c>
      <c r="H43" t="str">
        <f>VLOOKUP(C43, Sheet2!$A$2:$D$9, 3, FALSE)</f>
        <v>Clothing</v>
      </c>
      <c r="I43" t="str">
        <f>VLOOKUP(A50, Sheet3!$A$2:$D$201, 3, FALSE)</f>
        <v>Hyderabad</v>
      </c>
      <c r="J43" t="str">
        <f>VLOOKUP(A43, Sheet3!$A$2:$D$201, 4, FALSE)</f>
        <v>South</v>
      </c>
      <c r="K43" t="str">
        <f>VLOOKUP(A43, Sheet3!$A$2:$D$201, 2, FALSE)</f>
        <v>FM_Blr</v>
      </c>
      <c r="L43" s="4">
        <f t="shared" si="0"/>
        <v>0.2</v>
      </c>
    </row>
    <row r="44" spans="1:12">
      <c r="A44">
        <v>43</v>
      </c>
      <c r="B44" s="1">
        <v>46082</v>
      </c>
      <c r="C44">
        <v>103</v>
      </c>
      <c r="D44">
        <v>4</v>
      </c>
      <c r="E44">
        <v>8000</v>
      </c>
      <c r="F44">
        <v>1600</v>
      </c>
      <c r="G44" t="str">
        <f>VLOOKUP(C44, Sheet2!$A$2:$D$9, 2, FALSE)</f>
        <v>Shoes</v>
      </c>
      <c r="H44" t="str">
        <f>VLOOKUP(C44, Sheet2!$A$2:$D$9, 3, FALSE)</f>
        <v>Footwear</v>
      </c>
      <c r="I44" t="str">
        <f>VLOOKUP(A51, Sheet3!$A$2:$D$201, 3, FALSE)</f>
        <v>Bangalore</v>
      </c>
      <c r="J44" t="str">
        <f>VLOOKUP(A44, Sheet3!$A$2:$D$201, 4, FALSE)</f>
        <v>West</v>
      </c>
      <c r="K44" t="str">
        <f>VLOOKUP(A44, Sheet3!$A$2:$D$201, 2, FALSE)</f>
        <v>FM_Mum</v>
      </c>
      <c r="L44" s="4">
        <f t="shared" si="0"/>
        <v>0.2</v>
      </c>
    </row>
    <row r="45" spans="1:12">
      <c r="A45">
        <v>44</v>
      </c>
      <c r="B45" s="1">
        <v>46113</v>
      </c>
      <c r="C45">
        <v>104</v>
      </c>
      <c r="D45">
        <v>2</v>
      </c>
      <c r="E45">
        <v>4000</v>
      </c>
      <c r="F45">
        <v>800</v>
      </c>
      <c r="G45" t="str">
        <f>VLOOKUP(C45, Sheet2!$A$2:$D$9, 2, FALSE)</f>
        <v>Jacket</v>
      </c>
      <c r="H45" t="str">
        <f>VLOOKUP(C45, Sheet2!$A$2:$D$9, 3, FALSE)</f>
        <v>Clothing</v>
      </c>
      <c r="I45" t="str">
        <f>VLOOKUP(A52, Sheet3!$A$2:$D$201, 3, FALSE)</f>
        <v>Mumbai</v>
      </c>
      <c r="J45" t="str">
        <f>VLOOKUP(A45, Sheet3!$A$2:$D$201, 4, FALSE)</f>
        <v>West</v>
      </c>
      <c r="K45" t="str">
        <f>VLOOKUP(A45, Sheet3!$A$2:$D$201, 2, FALSE)</f>
        <v>FM_Pune</v>
      </c>
      <c r="L45" s="4">
        <f t="shared" si="0"/>
        <v>0.2</v>
      </c>
    </row>
    <row r="46" spans="1:12">
      <c r="A46">
        <v>45</v>
      </c>
      <c r="B46" s="1">
        <v>46143</v>
      </c>
      <c r="C46">
        <v>105</v>
      </c>
      <c r="D46">
        <v>6</v>
      </c>
      <c r="E46">
        <v>9000</v>
      </c>
      <c r="F46">
        <v>1800</v>
      </c>
      <c r="G46" t="str">
        <f>VLOOKUP(C46, Sheet2!$A$2:$D$9, 2, FALSE)</f>
        <v>Sandals</v>
      </c>
      <c r="H46" t="str">
        <f>VLOOKUP(C46, Sheet2!$A$2:$D$9, 3, FALSE)</f>
        <v>Footwear</v>
      </c>
      <c r="I46" t="str">
        <f>VLOOKUP(A53, Sheet3!$A$2:$D$201, 3, FALSE)</f>
        <v>Pune</v>
      </c>
      <c r="J46" t="str">
        <f>VLOOKUP(A46, Sheet3!$A$2:$D$201, 4, FALSE)</f>
        <v>North</v>
      </c>
      <c r="K46" t="str">
        <f>VLOOKUP(A46, Sheet3!$A$2:$D$201, 2, FALSE)</f>
        <v>FM_Del</v>
      </c>
      <c r="L46" s="4">
        <f t="shared" si="0"/>
        <v>0.2</v>
      </c>
    </row>
    <row r="47" spans="1:12">
      <c r="A47">
        <v>46</v>
      </c>
      <c r="B47" s="1">
        <v>46174</v>
      </c>
      <c r="C47">
        <v>106</v>
      </c>
      <c r="D47">
        <v>5</v>
      </c>
      <c r="E47">
        <v>7500</v>
      </c>
      <c r="F47">
        <v>1500</v>
      </c>
      <c r="G47" t="str">
        <f>VLOOKUP(C47, Sheet2!$A$2:$D$9, 2, FALSE)</f>
        <v>Shirt</v>
      </c>
      <c r="H47" t="str">
        <f>VLOOKUP(C47, Sheet2!$A$2:$D$9, 3, FALSE)</f>
        <v>Clothing</v>
      </c>
      <c r="I47" t="str">
        <f>VLOOKUP(A54, Sheet3!$A$2:$D$201, 3, FALSE)</f>
        <v>Delhi</v>
      </c>
      <c r="J47" t="str">
        <f>VLOOKUP(A47, Sheet3!$A$2:$D$201, 4, FALSE)</f>
        <v>North</v>
      </c>
      <c r="K47" t="str">
        <f>VLOOKUP(A47, Sheet3!$A$2:$D$201, 2, FALSE)</f>
        <v>FM_Jaipur</v>
      </c>
      <c r="L47" s="4">
        <f t="shared" si="0"/>
        <v>0.2</v>
      </c>
    </row>
    <row r="48" spans="1:12">
      <c r="A48">
        <v>47</v>
      </c>
      <c r="B48" s="1">
        <v>46204</v>
      </c>
      <c r="C48">
        <v>107</v>
      </c>
      <c r="D48">
        <v>3</v>
      </c>
      <c r="E48">
        <v>6000</v>
      </c>
      <c r="F48">
        <v>1200</v>
      </c>
      <c r="G48" t="str">
        <f>VLOOKUP(C48, Sheet2!$A$2:$D$9, 2, FALSE)</f>
        <v>Sneakers</v>
      </c>
      <c r="H48" t="str">
        <f>VLOOKUP(C48, Sheet2!$A$2:$D$9, 3, FALSE)</f>
        <v>Footwear</v>
      </c>
      <c r="I48" t="str">
        <f>VLOOKUP(A55, Sheet3!$A$2:$D$201, 3, FALSE)</f>
        <v>Jaipur</v>
      </c>
      <c r="J48" t="str">
        <f>VLOOKUP(A48, Sheet3!$A$2:$D$201, 4, FALSE)</f>
        <v>East</v>
      </c>
      <c r="K48" t="str">
        <f>VLOOKUP(A48, Sheet3!$A$2:$D$201, 2, FALSE)</f>
        <v>FM_Kol</v>
      </c>
      <c r="L48" s="4">
        <f t="shared" si="0"/>
        <v>0.2</v>
      </c>
    </row>
    <row r="49" spans="1:12">
      <c r="A49">
        <v>48</v>
      </c>
      <c r="B49" s="1">
        <v>46235</v>
      </c>
      <c r="C49">
        <v>108</v>
      </c>
      <c r="D49">
        <v>4</v>
      </c>
      <c r="E49">
        <v>7000</v>
      </c>
      <c r="F49">
        <v>1400</v>
      </c>
      <c r="G49" t="str">
        <f>VLOOKUP(C49, Sheet2!$A$2:$D$9, 2, FALSE)</f>
        <v>Hoodie</v>
      </c>
      <c r="H49" t="str">
        <f>VLOOKUP(C49, Sheet2!$A$2:$D$9, 3, FALSE)</f>
        <v>Clothing</v>
      </c>
      <c r="I49" t="str">
        <f>VLOOKUP(A56, Sheet3!$A$2:$D$201, 3, FALSE)</f>
        <v>Kolkata</v>
      </c>
      <c r="J49" t="str">
        <f>VLOOKUP(A49, Sheet3!$A$2:$D$201, 4, FALSE)</f>
        <v>South</v>
      </c>
      <c r="K49" t="str">
        <f>VLOOKUP(A49, Sheet3!$A$2:$D$201, 2, FALSE)</f>
        <v>FM_Chennai</v>
      </c>
      <c r="L49" s="4">
        <f t="shared" si="0"/>
        <v>0.2</v>
      </c>
    </row>
    <row r="50" spans="1:12">
      <c r="A50">
        <v>49</v>
      </c>
      <c r="B50" s="1">
        <v>46266</v>
      </c>
      <c r="C50">
        <v>101</v>
      </c>
      <c r="D50">
        <v>6</v>
      </c>
      <c r="E50">
        <v>6000</v>
      </c>
      <c r="F50">
        <v>1200</v>
      </c>
      <c r="G50" t="str">
        <f>VLOOKUP(C50, Sheet2!$A$2:$D$9, 2, FALSE)</f>
        <v>T-Shirt</v>
      </c>
      <c r="H50" t="str">
        <f>VLOOKUP(C50, Sheet2!$A$2:$D$9, 3, FALSE)</f>
        <v>Clothing</v>
      </c>
      <c r="I50" t="str">
        <f>VLOOKUP(A57, Sheet3!$A$2:$D$201, 3, FALSE)</f>
        <v>Chennai</v>
      </c>
      <c r="J50" t="str">
        <f>VLOOKUP(A50, Sheet3!$A$2:$D$201, 4, FALSE)</f>
        <v>South</v>
      </c>
      <c r="K50" t="str">
        <f>VLOOKUP(A50, Sheet3!$A$2:$D$201, 2, FALSE)</f>
        <v>FM_Hyd</v>
      </c>
      <c r="L50" s="4">
        <f t="shared" si="0"/>
        <v>0.2</v>
      </c>
    </row>
    <row r="51" spans="1:12">
      <c r="A51">
        <v>50</v>
      </c>
      <c r="B51" s="1">
        <v>46296</v>
      </c>
      <c r="C51">
        <v>102</v>
      </c>
      <c r="D51">
        <v>4</v>
      </c>
      <c r="E51">
        <v>8000</v>
      </c>
      <c r="F51">
        <v>1600</v>
      </c>
      <c r="G51" t="str">
        <f>VLOOKUP(C51, Sheet2!$A$2:$D$9, 2, FALSE)</f>
        <v>Jeans</v>
      </c>
      <c r="H51" t="str">
        <f>VLOOKUP(C51, Sheet2!$A$2:$D$9, 3, FALSE)</f>
        <v>Clothing</v>
      </c>
      <c r="I51" t="str">
        <f>VLOOKUP(A58, Sheet3!$A$2:$D$201, 3, FALSE)</f>
        <v>Hyderabad</v>
      </c>
      <c r="J51" t="str">
        <f>VLOOKUP(A51, Sheet3!$A$2:$D$201, 4, FALSE)</f>
        <v>South</v>
      </c>
      <c r="K51" t="str">
        <f>VLOOKUP(A51, Sheet3!$A$2:$D$201, 2, FALSE)</f>
        <v>FM_Blr</v>
      </c>
      <c r="L51" s="4">
        <f t="shared" si="0"/>
        <v>0.2</v>
      </c>
    </row>
    <row r="52" spans="1:12">
      <c r="A52">
        <v>51</v>
      </c>
      <c r="B52" s="1">
        <v>46023</v>
      </c>
      <c r="C52">
        <v>101</v>
      </c>
      <c r="D52">
        <v>5</v>
      </c>
      <c r="E52">
        <v>5000</v>
      </c>
      <c r="F52">
        <v>1000</v>
      </c>
      <c r="G52" t="str">
        <f>VLOOKUP(C52, Sheet2!$A$2:$D$9, 2, FALSE)</f>
        <v>T-Shirt</v>
      </c>
      <c r="H52" t="str">
        <f>VLOOKUP(C52, Sheet2!$A$2:$D$9, 3, FALSE)</f>
        <v>Clothing</v>
      </c>
      <c r="I52" t="str">
        <f>VLOOKUP(A59, Sheet3!$A$2:$D$201, 3, FALSE)</f>
        <v>Bangalore</v>
      </c>
      <c r="J52" t="str">
        <f>VLOOKUP(A52, Sheet3!$A$2:$D$201, 4, FALSE)</f>
        <v>West</v>
      </c>
      <c r="K52" t="str">
        <f>VLOOKUP(A52, Sheet3!$A$2:$D$201, 2, FALSE)</f>
        <v>FM_Mum</v>
      </c>
      <c r="L52" s="4">
        <f t="shared" si="0"/>
        <v>0.2</v>
      </c>
    </row>
    <row r="53" spans="1:12">
      <c r="A53">
        <v>52</v>
      </c>
      <c r="B53" s="1">
        <v>46054</v>
      </c>
      <c r="C53">
        <v>102</v>
      </c>
      <c r="D53">
        <v>3</v>
      </c>
      <c r="E53">
        <v>6000</v>
      </c>
      <c r="F53">
        <v>1200</v>
      </c>
      <c r="G53" t="str">
        <f>VLOOKUP(C53, Sheet2!$A$2:$D$9, 2, FALSE)</f>
        <v>Jeans</v>
      </c>
      <c r="H53" t="str">
        <f>VLOOKUP(C53, Sheet2!$A$2:$D$9, 3, FALSE)</f>
        <v>Clothing</v>
      </c>
      <c r="I53" t="str">
        <f>VLOOKUP(A60, Sheet3!$A$2:$D$201, 3, FALSE)</f>
        <v>Mumbai</v>
      </c>
      <c r="J53" t="str">
        <f>VLOOKUP(A53, Sheet3!$A$2:$D$201, 4, FALSE)</f>
        <v>West</v>
      </c>
      <c r="K53" t="str">
        <f>VLOOKUP(A53, Sheet3!$A$2:$D$201, 2, FALSE)</f>
        <v>FM_Pune</v>
      </c>
      <c r="L53" s="4">
        <f t="shared" si="0"/>
        <v>0.2</v>
      </c>
    </row>
    <row r="54" spans="1:12">
      <c r="A54">
        <v>53</v>
      </c>
      <c r="B54" s="1">
        <v>46082</v>
      </c>
      <c r="C54">
        <v>103</v>
      </c>
      <c r="D54">
        <v>4</v>
      </c>
      <c r="E54">
        <v>8000</v>
      </c>
      <c r="F54">
        <v>1600</v>
      </c>
      <c r="G54" t="str">
        <f>VLOOKUP(C54, Sheet2!$A$2:$D$9, 2, FALSE)</f>
        <v>Shoes</v>
      </c>
      <c r="H54" t="str">
        <f>VLOOKUP(C54, Sheet2!$A$2:$D$9, 3, FALSE)</f>
        <v>Footwear</v>
      </c>
      <c r="I54" t="str">
        <f>VLOOKUP(A61, Sheet3!$A$2:$D$201, 3, FALSE)</f>
        <v>Pune</v>
      </c>
      <c r="J54" t="str">
        <f>VLOOKUP(A54, Sheet3!$A$2:$D$201, 4, FALSE)</f>
        <v>North</v>
      </c>
      <c r="K54" t="str">
        <f>VLOOKUP(A54, Sheet3!$A$2:$D$201, 2, FALSE)</f>
        <v>FM_Del</v>
      </c>
      <c r="L54" s="4">
        <f t="shared" si="0"/>
        <v>0.2</v>
      </c>
    </row>
    <row r="55" spans="1:12">
      <c r="A55">
        <v>54</v>
      </c>
      <c r="B55" s="1">
        <v>46113</v>
      </c>
      <c r="C55">
        <v>104</v>
      </c>
      <c r="D55">
        <v>2</v>
      </c>
      <c r="E55">
        <v>4000</v>
      </c>
      <c r="F55">
        <v>800</v>
      </c>
      <c r="G55" t="str">
        <f>VLOOKUP(C55, Sheet2!$A$2:$D$9, 2, FALSE)</f>
        <v>Jacket</v>
      </c>
      <c r="H55" t="str">
        <f>VLOOKUP(C55, Sheet2!$A$2:$D$9, 3, FALSE)</f>
        <v>Clothing</v>
      </c>
      <c r="I55" t="str">
        <f>VLOOKUP(A62, Sheet3!$A$2:$D$201, 3, FALSE)</f>
        <v>Delhi</v>
      </c>
      <c r="J55" t="str">
        <f>VLOOKUP(A55, Sheet3!$A$2:$D$201, 4, FALSE)</f>
        <v>North</v>
      </c>
      <c r="K55" t="str">
        <f>VLOOKUP(A55, Sheet3!$A$2:$D$201, 2, FALSE)</f>
        <v>FM_Jaipur</v>
      </c>
      <c r="L55" s="4">
        <f t="shared" si="0"/>
        <v>0.2</v>
      </c>
    </row>
    <row r="56" spans="1:12">
      <c r="A56">
        <v>55</v>
      </c>
      <c r="B56" s="1">
        <v>46143</v>
      </c>
      <c r="C56">
        <v>105</v>
      </c>
      <c r="D56">
        <v>6</v>
      </c>
      <c r="E56">
        <v>9000</v>
      </c>
      <c r="F56">
        <v>1800</v>
      </c>
      <c r="G56" t="str">
        <f>VLOOKUP(C56, Sheet2!$A$2:$D$9, 2, FALSE)</f>
        <v>Sandals</v>
      </c>
      <c r="H56" t="str">
        <f>VLOOKUP(C56, Sheet2!$A$2:$D$9, 3, FALSE)</f>
        <v>Footwear</v>
      </c>
      <c r="I56" t="str">
        <f>VLOOKUP(A63, Sheet3!$A$2:$D$201, 3, FALSE)</f>
        <v>Jaipur</v>
      </c>
      <c r="J56" t="str">
        <f>VLOOKUP(A56, Sheet3!$A$2:$D$201, 4, FALSE)</f>
        <v>East</v>
      </c>
      <c r="K56" t="str">
        <f>VLOOKUP(A56, Sheet3!$A$2:$D$201, 2, FALSE)</f>
        <v>FM_Kol</v>
      </c>
      <c r="L56" s="4">
        <f t="shared" si="0"/>
        <v>0.2</v>
      </c>
    </row>
    <row r="57" spans="1:12">
      <c r="A57">
        <v>56</v>
      </c>
      <c r="B57" s="1">
        <v>46174</v>
      </c>
      <c r="C57">
        <v>106</v>
      </c>
      <c r="D57">
        <v>5</v>
      </c>
      <c r="E57">
        <v>7500</v>
      </c>
      <c r="F57">
        <v>1500</v>
      </c>
      <c r="G57" t="str">
        <f>VLOOKUP(C57, Sheet2!$A$2:$D$9, 2, FALSE)</f>
        <v>Shirt</v>
      </c>
      <c r="H57" t="str">
        <f>VLOOKUP(C57, Sheet2!$A$2:$D$9, 3, FALSE)</f>
        <v>Clothing</v>
      </c>
      <c r="I57" t="str">
        <f>VLOOKUP(A64, Sheet3!$A$2:$D$201, 3, FALSE)</f>
        <v>Kolkata</v>
      </c>
      <c r="J57" t="str">
        <f>VLOOKUP(A57, Sheet3!$A$2:$D$201, 4, FALSE)</f>
        <v>South</v>
      </c>
      <c r="K57" t="str">
        <f>VLOOKUP(A57, Sheet3!$A$2:$D$201, 2, FALSE)</f>
        <v>FM_Chennai</v>
      </c>
      <c r="L57" s="4">
        <f t="shared" si="0"/>
        <v>0.2</v>
      </c>
    </row>
    <row r="58" spans="1:12">
      <c r="A58">
        <v>57</v>
      </c>
      <c r="B58" s="1">
        <v>46204</v>
      </c>
      <c r="C58">
        <v>107</v>
      </c>
      <c r="D58">
        <v>3</v>
      </c>
      <c r="E58">
        <v>6000</v>
      </c>
      <c r="F58">
        <v>1200</v>
      </c>
      <c r="G58" t="str">
        <f>VLOOKUP(C58, Sheet2!$A$2:$D$9, 2, FALSE)</f>
        <v>Sneakers</v>
      </c>
      <c r="H58" t="str">
        <f>VLOOKUP(C58, Sheet2!$A$2:$D$9, 3, FALSE)</f>
        <v>Footwear</v>
      </c>
      <c r="I58" t="str">
        <f>VLOOKUP(A65, Sheet3!$A$2:$D$201, 3, FALSE)</f>
        <v>Chennai</v>
      </c>
      <c r="J58" t="str">
        <f>VLOOKUP(A58, Sheet3!$A$2:$D$201, 4, FALSE)</f>
        <v>South</v>
      </c>
      <c r="K58" t="str">
        <f>VLOOKUP(A58, Sheet3!$A$2:$D$201, 2, FALSE)</f>
        <v>FM_Hyd</v>
      </c>
      <c r="L58" s="4">
        <f t="shared" si="0"/>
        <v>0.2</v>
      </c>
    </row>
    <row r="59" spans="1:12">
      <c r="A59">
        <v>58</v>
      </c>
      <c r="B59" s="1">
        <v>46235</v>
      </c>
      <c r="C59">
        <v>108</v>
      </c>
      <c r="D59">
        <v>4</v>
      </c>
      <c r="E59">
        <v>7000</v>
      </c>
      <c r="F59">
        <v>1400</v>
      </c>
      <c r="G59" t="str">
        <f>VLOOKUP(C59, Sheet2!$A$2:$D$9, 2, FALSE)</f>
        <v>Hoodie</v>
      </c>
      <c r="H59" t="str">
        <f>VLOOKUP(C59, Sheet2!$A$2:$D$9, 3, FALSE)</f>
        <v>Clothing</v>
      </c>
      <c r="I59" t="str">
        <f>VLOOKUP(A66, Sheet3!$A$2:$D$201, 3, FALSE)</f>
        <v>Hyderabad</v>
      </c>
      <c r="J59" t="str">
        <f>VLOOKUP(A59, Sheet3!$A$2:$D$201, 4, FALSE)</f>
        <v>South</v>
      </c>
      <c r="K59" t="str">
        <f>VLOOKUP(A59, Sheet3!$A$2:$D$201, 2, FALSE)</f>
        <v>FM_Blr</v>
      </c>
      <c r="L59" s="4">
        <f t="shared" si="0"/>
        <v>0.2</v>
      </c>
    </row>
    <row r="60" spans="1:12">
      <c r="A60">
        <v>59</v>
      </c>
      <c r="B60" s="1">
        <v>46266</v>
      </c>
      <c r="C60">
        <v>101</v>
      </c>
      <c r="D60">
        <v>6</v>
      </c>
      <c r="E60">
        <v>6000</v>
      </c>
      <c r="F60">
        <v>1200</v>
      </c>
      <c r="G60" t="str">
        <f>VLOOKUP(C60, Sheet2!$A$2:$D$9, 2, FALSE)</f>
        <v>T-Shirt</v>
      </c>
      <c r="H60" t="str">
        <f>VLOOKUP(C60, Sheet2!$A$2:$D$9, 3, FALSE)</f>
        <v>Clothing</v>
      </c>
      <c r="I60" t="str">
        <f>VLOOKUP(A67, Sheet3!$A$2:$D$201, 3, FALSE)</f>
        <v>Bangalore</v>
      </c>
      <c r="J60" t="str">
        <f>VLOOKUP(A60, Sheet3!$A$2:$D$201, 4, FALSE)</f>
        <v>West</v>
      </c>
      <c r="K60" t="str">
        <f>VLOOKUP(A60, Sheet3!$A$2:$D$201, 2, FALSE)</f>
        <v>FM_Mum</v>
      </c>
      <c r="L60" s="4">
        <f t="shared" si="0"/>
        <v>0.2</v>
      </c>
    </row>
    <row r="61" spans="1:12">
      <c r="A61">
        <v>60</v>
      </c>
      <c r="B61" s="1">
        <v>46296</v>
      </c>
      <c r="C61">
        <v>102</v>
      </c>
      <c r="D61">
        <v>4</v>
      </c>
      <c r="E61">
        <v>8000</v>
      </c>
      <c r="F61">
        <v>1600</v>
      </c>
      <c r="G61" t="str">
        <f>VLOOKUP(C61, Sheet2!$A$2:$D$9, 2, FALSE)</f>
        <v>Jeans</v>
      </c>
      <c r="H61" t="str">
        <f>VLOOKUP(C61, Sheet2!$A$2:$D$9, 3, FALSE)</f>
        <v>Clothing</v>
      </c>
      <c r="I61" t="str">
        <f>VLOOKUP(A68, Sheet3!$A$2:$D$201, 3, FALSE)</f>
        <v>Mumbai</v>
      </c>
      <c r="J61" t="str">
        <f>VLOOKUP(A61, Sheet3!$A$2:$D$201, 4, FALSE)</f>
        <v>West</v>
      </c>
      <c r="K61" t="str">
        <f>VLOOKUP(A61, Sheet3!$A$2:$D$201, 2, FALSE)</f>
        <v>FM_Pune</v>
      </c>
      <c r="L61" s="4">
        <f t="shared" si="0"/>
        <v>0.2</v>
      </c>
    </row>
    <row r="62" spans="1:12">
      <c r="A62">
        <v>61</v>
      </c>
      <c r="B62" s="1">
        <v>46023</v>
      </c>
      <c r="C62">
        <v>101</v>
      </c>
      <c r="D62">
        <v>5</v>
      </c>
      <c r="E62">
        <v>5000</v>
      </c>
      <c r="F62">
        <v>1000</v>
      </c>
      <c r="G62" t="str">
        <f>VLOOKUP(C62, Sheet2!$A$2:$D$9, 2, FALSE)</f>
        <v>T-Shirt</v>
      </c>
      <c r="H62" t="str">
        <f>VLOOKUP(C62, Sheet2!$A$2:$D$9, 3, FALSE)</f>
        <v>Clothing</v>
      </c>
      <c r="I62" t="str">
        <f>VLOOKUP(A69, Sheet3!$A$2:$D$201, 3, FALSE)</f>
        <v>Pune</v>
      </c>
      <c r="J62" t="str">
        <f>VLOOKUP(A62, Sheet3!$A$2:$D$201, 4, FALSE)</f>
        <v>North</v>
      </c>
      <c r="K62" t="str">
        <f>VLOOKUP(A62, Sheet3!$A$2:$D$201, 2, FALSE)</f>
        <v>FM_Del</v>
      </c>
      <c r="L62" s="4">
        <f t="shared" si="0"/>
        <v>0.2</v>
      </c>
    </row>
    <row r="63" spans="1:12">
      <c r="A63">
        <v>62</v>
      </c>
      <c r="B63" s="1">
        <v>46054</v>
      </c>
      <c r="C63">
        <v>102</v>
      </c>
      <c r="D63">
        <v>3</v>
      </c>
      <c r="E63">
        <v>6000</v>
      </c>
      <c r="F63">
        <v>1200</v>
      </c>
      <c r="G63" t="str">
        <f>VLOOKUP(C63, Sheet2!$A$2:$D$9, 2, FALSE)</f>
        <v>Jeans</v>
      </c>
      <c r="H63" t="str">
        <f>VLOOKUP(C63, Sheet2!$A$2:$D$9, 3, FALSE)</f>
        <v>Clothing</v>
      </c>
      <c r="I63" t="str">
        <f>VLOOKUP(A70, Sheet3!$A$2:$D$201, 3, FALSE)</f>
        <v>Delhi</v>
      </c>
      <c r="J63" t="str">
        <f>VLOOKUP(A63, Sheet3!$A$2:$D$201, 4, FALSE)</f>
        <v>North</v>
      </c>
      <c r="K63" t="str">
        <f>VLOOKUP(A63, Sheet3!$A$2:$D$201, 2, FALSE)</f>
        <v>FM_Jaipur</v>
      </c>
      <c r="L63" s="4">
        <f t="shared" si="0"/>
        <v>0.2</v>
      </c>
    </row>
    <row r="64" spans="1:12">
      <c r="A64">
        <v>63</v>
      </c>
      <c r="B64" s="1">
        <v>46082</v>
      </c>
      <c r="C64">
        <v>103</v>
      </c>
      <c r="D64">
        <v>4</v>
      </c>
      <c r="E64">
        <v>8000</v>
      </c>
      <c r="F64">
        <v>1600</v>
      </c>
      <c r="G64" t="str">
        <f>VLOOKUP(C64, Sheet2!$A$2:$D$9, 2, FALSE)</f>
        <v>Shoes</v>
      </c>
      <c r="H64" t="str">
        <f>VLOOKUP(C64, Sheet2!$A$2:$D$9, 3, FALSE)</f>
        <v>Footwear</v>
      </c>
      <c r="I64" t="str">
        <f>VLOOKUP(A71, Sheet3!$A$2:$D$201, 3, FALSE)</f>
        <v>Jaipur</v>
      </c>
      <c r="J64" t="str">
        <f>VLOOKUP(A64, Sheet3!$A$2:$D$201, 4, FALSE)</f>
        <v>East</v>
      </c>
      <c r="K64" t="str">
        <f>VLOOKUP(A64, Sheet3!$A$2:$D$201, 2, FALSE)</f>
        <v>FM_Kol</v>
      </c>
      <c r="L64" s="4">
        <f t="shared" si="0"/>
        <v>0.2</v>
      </c>
    </row>
    <row r="65" spans="1:12">
      <c r="A65">
        <v>64</v>
      </c>
      <c r="B65" s="1">
        <v>46113</v>
      </c>
      <c r="C65">
        <v>104</v>
      </c>
      <c r="D65">
        <v>2</v>
      </c>
      <c r="E65">
        <v>4000</v>
      </c>
      <c r="F65">
        <v>800</v>
      </c>
      <c r="G65" t="str">
        <f>VLOOKUP(C65, Sheet2!$A$2:$D$9, 2, FALSE)</f>
        <v>Jacket</v>
      </c>
      <c r="H65" t="str">
        <f>VLOOKUP(C65, Sheet2!$A$2:$D$9, 3, FALSE)</f>
        <v>Clothing</v>
      </c>
      <c r="I65" t="str">
        <f>VLOOKUP(A72, Sheet3!$A$2:$D$201, 3, FALSE)</f>
        <v>Kolkata</v>
      </c>
      <c r="J65" t="str">
        <f>VLOOKUP(A65, Sheet3!$A$2:$D$201, 4, FALSE)</f>
        <v>South</v>
      </c>
      <c r="K65" t="str">
        <f>VLOOKUP(A65, Sheet3!$A$2:$D$201, 2, FALSE)</f>
        <v>FM_Chennai</v>
      </c>
      <c r="L65" s="4">
        <f t="shared" si="0"/>
        <v>0.2</v>
      </c>
    </row>
    <row r="66" spans="1:12">
      <c r="A66">
        <v>65</v>
      </c>
      <c r="B66" s="1">
        <v>46143</v>
      </c>
      <c r="C66">
        <v>105</v>
      </c>
      <c r="D66">
        <v>6</v>
      </c>
      <c r="E66">
        <v>9000</v>
      </c>
      <c r="F66">
        <v>1800</v>
      </c>
      <c r="G66" t="str">
        <f>VLOOKUP(C66, Sheet2!$A$2:$D$9, 2, FALSE)</f>
        <v>Sandals</v>
      </c>
      <c r="H66" t="str">
        <f>VLOOKUP(C66, Sheet2!$A$2:$D$9, 3, FALSE)</f>
        <v>Footwear</v>
      </c>
      <c r="I66" t="str">
        <f>VLOOKUP(A73, Sheet3!$A$2:$D$201, 3, FALSE)</f>
        <v>Chennai</v>
      </c>
      <c r="J66" t="str">
        <f>VLOOKUP(A66, Sheet3!$A$2:$D$201, 4, FALSE)</f>
        <v>South</v>
      </c>
      <c r="K66" t="str">
        <f>VLOOKUP(A66, Sheet3!$A$2:$D$201, 2, FALSE)</f>
        <v>FM_Hyd</v>
      </c>
      <c r="L66" s="4">
        <f t="shared" si="0"/>
        <v>0.2</v>
      </c>
    </row>
    <row r="67" spans="1:12">
      <c r="A67">
        <v>66</v>
      </c>
      <c r="B67" s="1">
        <v>46174</v>
      </c>
      <c r="C67">
        <v>106</v>
      </c>
      <c r="D67">
        <v>5</v>
      </c>
      <c r="E67">
        <v>7500</v>
      </c>
      <c r="F67">
        <v>1500</v>
      </c>
      <c r="G67" t="str">
        <f>VLOOKUP(C67, Sheet2!$A$2:$D$9, 2, FALSE)</f>
        <v>Shirt</v>
      </c>
      <c r="H67" t="str">
        <f>VLOOKUP(C67, Sheet2!$A$2:$D$9, 3, FALSE)</f>
        <v>Clothing</v>
      </c>
      <c r="I67" t="str">
        <f>VLOOKUP(A74, Sheet3!$A$2:$D$201, 3, FALSE)</f>
        <v>Hyderabad</v>
      </c>
      <c r="J67" t="str">
        <f>VLOOKUP(A67, Sheet3!$A$2:$D$201, 4, FALSE)</f>
        <v>South</v>
      </c>
      <c r="K67" t="str">
        <f>VLOOKUP(A67, Sheet3!$A$2:$D$201, 2, FALSE)</f>
        <v>FM_Blr</v>
      </c>
      <c r="L67" s="4">
        <f t="shared" ref="L67:L130" si="1">F67/E67</f>
        <v>0.2</v>
      </c>
    </row>
    <row r="68" spans="1:12">
      <c r="A68">
        <v>67</v>
      </c>
      <c r="B68" s="1">
        <v>46204</v>
      </c>
      <c r="C68">
        <v>107</v>
      </c>
      <c r="D68">
        <v>3</v>
      </c>
      <c r="E68">
        <v>6000</v>
      </c>
      <c r="F68">
        <v>1200</v>
      </c>
      <c r="G68" t="str">
        <f>VLOOKUP(C68, Sheet2!$A$2:$D$9, 2, FALSE)</f>
        <v>Sneakers</v>
      </c>
      <c r="H68" t="str">
        <f>VLOOKUP(C68, Sheet2!$A$2:$D$9, 3, FALSE)</f>
        <v>Footwear</v>
      </c>
      <c r="I68" t="str">
        <f>VLOOKUP(A75, Sheet3!$A$2:$D$201, 3, FALSE)</f>
        <v>Bangalore</v>
      </c>
      <c r="J68" t="str">
        <f>VLOOKUP(A68, Sheet3!$A$2:$D$201, 4, FALSE)</f>
        <v>West</v>
      </c>
      <c r="K68" t="str">
        <f>VLOOKUP(A68, Sheet3!$A$2:$D$201, 2, FALSE)</f>
        <v>FM_Mum</v>
      </c>
      <c r="L68" s="4">
        <f t="shared" si="1"/>
        <v>0.2</v>
      </c>
    </row>
    <row r="69" spans="1:12">
      <c r="A69">
        <v>68</v>
      </c>
      <c r="B69" s="1">
        <v>46235</v>
      </c>
      <c r="C69">
        <v>108</v>
      </c>
      <c r="D69">
        <v>4</v>
      </c>
      <c r="E69">
        <v>7000</v>
      </c>
      <c r="F69">
        <v>1400</v>
      </c>
      <c r="G69" t="str">
        <f>VLOOKUP(C69, Sheet2!$A$2:$D$9, 2, FALSE)</f>
        <v>Hoodie</v>
      </c>
      <c r="H69" t="str">
        <f>VLOOKUP(C69, Sheet2!$A$2:$D$9, 3, FALSE)</f>
        <v>Clothing</v>
      </c>
      <c r="I69" t="str">
        <f>VLOOKUP(A76, Sheet3!$A$2:$D$201, 3, FALSE)</f>
        <v>Mumbai</v>
      </c>
      <c r="J69" t="str">
        <f>VLOOKUP(A69, Sheet3!$A$2:$D$201, 4, FALSE)</f>
        <v>West</v>
      </c>
      <c r="K69" t="str">
        <f>VLOOKUP(A69, Sheet3!$A$2:$D$201, 2, FALSE)</f>
        <v>FM_Pune</v>
      </c>
      <c r="L69" s="4">
        <f t="shared" si="1"/>
        <v>0.2</v>
      </c>
    </row>
    <row r="70" spans="1:12">
      <c r="A70">
        <v>69</v>
      </c>
      <c r="B70" s="1">
        <v>46266</v>
      </c>
      <c r="C70">
        <v>101</v>
      </c>
      <c r="D70">
        <v>6</v>
      </c>
      <c r="E70">
        <v>6000</v>
      </c>
      <c r="F70">
        <v>1200</v>
      </c>
      <c r="G70" t="str">
        <f>VLOOKUP(C70, Sheet2!$A$2:$D$9, 2, FALSE)</f>
        <v>T-Shirt</v>
      </c>
      <c r="H70" t="str">
        <f>VLOOKUP(C70, Sheet2!$A$2:$D$9, 3, FALSE)</f>
        <v>Clothing</v>
      </c>
      <c r="I70" t="str">
        <f>VLOOKUP(A77, Sheet3!$A$2:$D$201, 3, FALSE)</f>
        <v>Pune</v>
      </c>
      <c r="J70" t="str">
        <f>VLOOKUP(A70, Sheet3!$A$2:$D$201, 4, FALSE)</f>
        <v>North</v>
      </c>
      <c r="K70" t="str">
        <f>VLOOKUP(A70, Sheet3!$A$2:$D$201, 2, FALSE)</f>
        <v>FM_Del</v>
      </c>
      <c r="L70" s="4">
        <f t="shared" si="1"/>
        <v>0.2</v>
      </c>
    </row>
    <row r="71" spans="1:12">
      <c r="A71">
        <v>70</v>
      </c>
      <c r="B71" s="1">
        <v>46296</v>
      </c>
      <c r="C71">
        <v>102</v>
      </c>
      <c r="D71">
        <v>4</v>
      </c>
      <c r="E71">
        <v>8000</v>
      </c>
      <c r="F71">
        <v>1600</v>
      </c>
      <c r="G71" t="str">
        <f>VLOOKUP(C71, Sheet2!$A$2:$D$9, 2, FALSE)</f>
        <v>Jeans</v>
      </c>
      <c r="H71" t="str">
        <f>VLOOKUP(C71, Sheet2!$A$2:$D$9, 3, FALSE)</f>
        <v>Clothing</v>
      </c>
      <c r="I71" t="str">
        <f>VLOOKUP(A78, Sheet3!$A$2:$D$201, 3, FALSE)</f>
        <v>Delhi</v>
      </c>
      <c r="J71" t="str">
        <f>VLOOKUP(A71, Sheet3!$A$2:$D$201, 4, FALSE)</f>
        <v>North</v>
      </c>
      <c r="K71" t="str">
        <f>VLOOKUP(A71, Sheet3!$A$2:$D$201, 2, FALSE)</f>
        <v>FM_Jaipur</v>
      </c>
      <c r="L71" s="4">
        <f t="shared" si="1"/>
        <v>0.2</v>
      </c>
    </row>
    <row r="72" spans="1:12">
      <c r="A72">
        <v>71</v>
      </c>
      <c r="B72" s="1">
        <v>46023</v>
      </c>
      <c r="C72">
        <v>101</v>
      </c>
      <c r="D72">
        <v>5</v>
      </c>
      <c r="E72">
        <v>5000</v>
      </c>
      <c r="F72">
        <v>1000</v>
      </c>
      <c r="G72" t="str">
        <f>VLOOKUP(C72, Sheet2!$A$2:$D$9, 2, FALSE)</f>
        <v>T-Shirt</v>
      </c>
      <c r="H72" t="str">
        <f>VLOOKUP(C72, Sheet2!$A$2:$D$9, 3, FALSE)</f>
        <v>Clothing</v>
      </c>
      <c r="I72" t="str">
        <f>VLOOKUP(A79, Sheet3!$A$2:$D$201, 3, FALSE)</f>
        <v>Jaipur</v>
      </c>
      <c r="J72" t="str">
        <f>VLOOKUP(A72, Sheet3!$A$2:$D$201, 4, FALSE)</f>
        <v>East</v>
      </c>
      <c r="K72" t="str">
        <f>VLOOKUP(A72, Sheet3!$A$2:$D$201, 2, FALSE)</f>
        <v>FM_Kol</v>
      </c>
      <c r="L72" s="4">
        <f t="shared" si="1"/>
        <v>0.2</v>
      </c>
    </row>
    <row r="73" spans="1:12">
      <c r="A73">
        <v>72</v>
      </c>
      <c r="B73" s="1">
        <v>46054</v>
      </c>
      <c r="C73">
        <v>102</v>
      </c>
      <c r="D73">
        <v>3</v>
      </c>
      <c r="E73">
        <v>6000</v>
      </c>
      <c r="F73">
        <v>1200</v>
      </c>
      <c r="G73" t="str">
        <f>VLOOKUP(C73, Sheet2!$A$2:$D$9, 2, FALSE)</f>
        <v>Jeans</v>
      </c>
      <c r="H73" t="str">
        <f>VLOOKUP(C73, Sheet2!$A$2:$D$9, 3, FALSE)</f>
        <v>Clothing</v>
      </c>
      <c r="I73" t="str">
        <f>VLOOKUP(A80, Sheet3!$A$2:$D$201, 3, FALSE)</f>
        <v>Kolkata</v>
      </c>
      <c r="J73" t="str">
        <f>VLOOKUP(A73, Sheet3!$A$2:$D$201, 4, FALSE)</f>
        <v>South</v>
      </c>
      <c r="K73" t="str">
        <f>VLOOKUP(A73, Sheet3!$A$2:$D$201, 2, FALSE)</f>
        <v>FM_Chennai</v>
      </c>
      <c r="L73" s="4">
        <f t="shared" si="1"/>
        <v>0.2</v>
      </c>
    </row>
    <row r="74" spans="1:12">
      <c r="A74">
        <v>73</v>
      </c>
      <c r="B74" s="1">
        <v>46082</v>
      </c>
      <c r="C74">
        <v>103</v>
      </c>
      <c r="D74">
        <v>4</v>
      </c>
      <c r="E74">
        <v>8000</v>
      </c>
      <c r="F74">
        <v>1600</v>
      </c>
      <c r="G74" t="str">
        <f>VLOOKUP(C74, Sheet2!$A$2:$D$9, 2, FALSE)</f>
        <v>Shoes</v>
      </c>
      <c r="H74" t="str">
        <f>VLOOKUP(C74, Sheet2!$A$2:$D$9, 3, FALSE)</f>
        <v>Footwear</v>
      </c>
      <c r="I74" t="str">
        <f>VLOOKUP(A81, Sheet3!$A$2:$D$201, 3, FALSE)</f>
        <v>Chennai</v>
      </c>
      <c r="J74" t="str">
        <f>VLOOKUP(A74, Sheet3!$A$2:$D$201, 4, FALSE)</f>
        <v>South</v>
      </c>
      <c r="K74" t="str">
        <f>VLOOKUP(A74, Sheet3!$A$2:$D$201, 2, FALSE)</f>
        <v>FM_Hyd</v>
      </c>
      <c r="L74" s="4">
        <f t="shared" si="1"/>
        <v>0.2</v>
      </c>
    </row>
    <row r="75" spans="1:12">
      <c r="A75">
        <v>74</v>
      </c>
      <c r="B75" s="1">
        <v>46113</v>
      </c>
      <c r="C75">
        <v>104</v>
      </c>
      <c r="D75">
        <v>2</v>
      </c>
      <c r="E75">
        <v>4000</v>
      </c>
      <c r="F75">
        <v>800</v>
      </c>
      <c r="G75" t="str">
        <f>VLOOKUP(C75, Sheet2!$A$2:$D$9, 2, FALSE)</f>
        <v>Jacket</v>
      </c>
      <c r="H75" t="str">
        <f>VLOOKUP(C75, Sheet2!$A$2:$D$9, 3, FALSE)</f>
        <v>Clothing</v>
      </c>
      <c r="I75" t="str">
        <f>VLOOKUP(A82, Sheet3!$A$2:$D$201, 3, FALSE)</f>
        <v>Hyderabad</v>
      </c>
      <c r="J75" t="str">
        <f>VLOOKUP(A75, Sheet3!$A$2:$D$201, 4, FALSE)</f>
        <v>South</v>
      </c>
      <c r="K75" t="str">
        <f>VLOOKUP(A75, Sheet3!$A$2:$D$201, 2, FALSE)</f>
        <v>FM_Blr</v>
      </c>
      <c r="L75" s="4">
        <f t="shared" si="1"/>
        <v>0.2</v>
      </c>
    </row>
    <row r="76" spans="1:12">
      <c r="A76">
        <v>75</v>
      </c>
      <c r="B76" s="1">
        <v>46143</v>
      </c>
      <c r="C76">
        <v>105</v>
      </c>
      <c r="D76">
        <v>6</v>
      </c>
      <c r="E76">
        <v>9000</v>
      </c>
      <c r="F76">
        <v>1800</v>
      </c>
      <c r="G76" t="str">
        <f>VLOOKUP(C76, Sheet2!$A$2:$D$9, 2, FALSE)</f>
        <v>Sandals</v>
      </c>
      <c r="H76" t="str">
        <f>VLOOKUP(C76, Sheet2!$A$2:$D$9, 3, FALSE)</f>
        <v>Footwear</v>
      </c>
      <c r="I76" t="str">
        <f>VLOOKUP(A83, Sheet3!$A$2:$D$201, 3, FALSE)</f>
        <v>Bangalore</v>
      </c>
      <c r="J76" t="str">
        <f>VLOOKUP(A76, Sheet3!$A$2:$D$201, 4, FALSE)</f>
        <v>West</v>
      </c>
      <c r="K76" t="str">
        <f>VLOOKUP(A76, Sheet3!$A$2:$D$201, 2, FALSE)</f>
        <v>FM_Mum</v>
      </c>
      <c r="L76" s="4">
        <f t="shared" si="1"/>
        <v>0.2</v>
      </c>
    </row>
    <row r="77" spans="1:12">
      <c r="A77">
        <v>76</v>
      </c>
      <c r="B77" s="1">
        <v>46174</v>
      </c>
      <c r="C77">
        <v>106</v>
      </c>
      <c r="D77">
        <v>5</v>
      </c>
      <c r="E77">
        <v>7500</v>
      </c>
      <c r="F77">
        <v>1500</v>
      </c>
      <c r="G77" t="str">
        <f>VLOOKUP(C77, Sheet2!$A$2:$D$9, 2, FALSE)</f>
        <v>Shirt</v>
      </c>
      <c r="H77" t="str">
        <f>VLOOKUP(C77, Sheet2!$A$2:$D$9, 3, FALSE)</f>
        <v>Clothing</v>
      </c>
      <c r="I77" t="str">
        <f>VLOOKUP(A84, Sheet3!$A$2:$D$201, 3, FALSE)</f>
        <v>Mumbai</v>
      </c>
      <c r="J77" t="str">
        <f>VLOOKUP(A77, Sheet3!$A$2:$D$201, 4, FALSE)</f>
        <v>West</v>
      </c>
      <c r="K77" t="str">
        <f>VLOOKUP(A77, Sheet3!$A$2:$D$201, 2, FALSE)</f>
        <v>FM_Pune</v>
      </c>
      <c r="L77" s="4">
        <f t="shared" si="1"/>
        <v>0.2</v>
      </c>
    </row>
    <row r="78" spans="1:12">
      <c r="A78">
        <v>77</v>
      </c>
      <c r="B78" s="1">
        <v>46204</v>
      </c>
      <c r="C78">
        <v>107</v>
      </c>
      <c r="D78">
        <v>3</v>
      </c>
      <c r="E78">
        <v>6000</v>
      </c>
      <c r="F78">
        <v>1200</v>
      </c>
      <c r="G78" t="str">
        <f>VLOOKUP(C78, Sheet2!$A$2:$D$9, 2, FALSE)</f>
        <v>Sneakers</v>
      </c>
      <c r="H78" t="str">
        <f>VLOOKUP(C78, Sheet2!$A$2:$D$9, 3, FALSE)</f>
        <v>Footwear</v>
      </c>
      <c r="I78" t="str">
        <f>VLOOKUP(A85, Sheet3!$A$2:$D$201, 3, FALSE)</f>
        <v>Pune</v>
      </c>
      <c r="J78" t="str">
        <f>VLOOKUP(A78, Sheet3!$A$2:$D$201, 4, FALSE)</f>
        <v>North</v>
      </c>
      <c r="K78" t="str">
        <f>VLOOKUP(A78, Sheet3!$A$2:$D$201, 2, FALSE)</f>
        <v>FM_Del</v>
      </c>
      <c r="L78" s="4">
        <f t="shared" si="1"/>
        <v>0.2</v>
      </c>
    </row>
    <row r="79" spans="1:12">
      <c r="A79">
        <v>78</v>
      </c>
      <c r="B79" s="1">
        <v>46235</v>
      </c>
      <c r="C79">
        <v>108</v>
      </c>
      <c r="D79">
        <v>4</v>
      </c>
      <c r="E79">
        <v>7000</v>
      </c>
      <c r="F79">
        <v>1400</v>
      </c>
      <c r="G79" t="str">
        <f>VLOOKUP(C79, Sheet2!$A$2:$D$9, 2, FALSE)</f>
        <v>Hoodie</v>
      </c>
      <c r="H79" t="str">
        <f>VLOOKUP(C79, Sheet2!$A$2:$D$9, 3, FALSE)</f>
        <v>Clothing</v>
      </c>
      <c r="I79" t="str">
        <f>VLOOKUP(A86, Sheet3!$A$2:$D$201, 3, FALSE)</f>
        <v>Delhi</v>
      </c>
      <c r="J79" t="str">
        <f>VLOOKUP(A79, Sheet3!$A$2:$D$201, 4, FALSE)</f>
        <v>North</v>
      </c>
      <c r="K79" t="str">
        <f>VLOOKUP(A79, Sheet3!$A$2:$D$201, 2, FALSE)</f>
        <v>FM_Jaipur</v>
      </c>
      <c r="L79" s="4">
        <f t="shared" si="1"/>
        <v>0.2</v>
      </c>
    </row>
    <row r="80" spans="1:12">
      <c r="A80">
        <v>79</v>
      </c>
      <c r="B80" s="1">
        <v>46266</v>
      </c>
      <c r="C80">
        <v>101</v>
      </c>
      <c r="D80">
        <v>6</v>
      </c>
      <c r="E80">
        <v>6000</v>
      </c>
      <c r="F80">
        <v>1200</v>
      </c>
      <c r="G80" t="str">
        <f>VLOOKUP(C80, Sheet2!$A$2:$D$9, 2, FALSE)</f>
        <v>T-Shirt</v>
      </c>
      <c r="H80" t="str">
        <f>VLOOKUP(C80, Sheet2!$A$2:$D$9, 3, FALSE)</f>
        <v>Clothing</v>
      </c>
      <c r="I80" t="str">
        <f>VLOOKUP(A87, Sheet3!$A$2:$D$201, 3, FALSE)</f>
        <v>Jaipur</v>
      </c>
      <c r="J80" t="str">
        <f>VLOOKUP(A80, Sheet3!$A$2:$D$201, 4, FALSE)</f>
        <v>East</v>
      </c>
      <c r="K80" t="str">
        <f>VLOOKUP(A80, Sheet3!$A$2:$D$201, 2, FALSE)</f>
        <v>FM_Kol</v>
      </c>
      <c r="L80" s="4">
        <f t="shared" si="1"/>
        <v>0.2</v>
      </c>
    </row>
    <row r="81" spans="1:12">
      <c r="A81">
        <v>80</v>
      </c>
      <c r="B81" s="1">
        <v>46296</v>
      </c>
      <c r="C81">
        <v>102</v>
      </c>
      <c r="D81">
        <v>4</v>
      </c>
      <c r="E81">
        <v>8000</v>
      </c>
      <c r="F81">
        <v>1600</v>
      </c>
      <c r="G81" t="str">
        <f>VLOOKUP(C81, Sheet2!$A$2:$D$9, 2, FALSE)</f>
        <v>Jeans</v>
      </c>
      <c r="H81" t="str">
        <f>VLOOKUP(C81, Sheet2!$A$2:$D$9, 3, FALSE)</f>
        <v>Clothing</v>
      </c>
      <c r="I81" t="str">
        <f>VLOOKUP(A88, Sheet3!$A$2:$D$201, 3, FALSE)</f>
        <v>Kolkata</v>
      </c>
      <c r="J81" t="str">
        <f>VLOOKUP(A81, Sheet3!$A$2:$D$201, 4, FALSE)</f>
        <v>South</v>
      </c>
      <c r="K81" t="str">
        <f>VLOOKUP(A81, Sheet3!$A$2:$D$201, 2, FALSE)</f>
        <v>FM_Chennai</v>
      </c>
      <c r="L81" s="4">
        <f t="shared" si="1"/>
        <v>0.2</v>
      </c>
    </row>
    <row r="82" spans="1:12">
      <c r="A82">
        <v>81</v>
      </c>
      <c r="B82" s="1">
        <v>46023</v>
      </c>
      <c r="C82">
        <v>101</v>
      </c>
      <c r="D82">
        <v>5</v>
      </c>
      <c r="E82">
        <v>5000</v>
      </c>
      <c r="F82">
        <v>1000</v>
      </c>
      <c r="G82" t="str">
        <f>VLOOKUP(C82, Sheet2!$A$2:$D$9, 2, FALSE)</f>
        <v>T-Shirt</v>
      </c>
      <c r="H82" t="str">
        <f>VLOOKUP(C82, Sheet2!$A$2:$D$9, 3, FALSE)</f>
        <v>Clothing</v>
      </c>
      <c r="I82" t="str">
        <f>VLOOKUP(A89, Sheet3!$A$2:$D$201, 3, FALSE)</f>
        <v>Chennai</v>
      </c>
      <c r="J82" t="str">
        <f>VLOOKUP(A82, Sheet3!$A$2:$D$201, 4, FALSE)</f>
        <v>South</v>
      </c>
      <c r="K82" t="str">
        <f>VLOOKUP(A82, Sheet3!$A$2:$D$201, 2, FALSE)</f>
        <v>FM_Hyd</v>
      </c>
      <c r="L82" s="4">
        <f t="shared" si="1"/>
        <v>0.2</v>
      </c>
    </row>
    <row r="83" spans="1:12">
      <c r="A83">
        <v>82</v>
      </c>
      <c r="B83" s="1">
        <v>46054</v>
      </c>
      <c r="C83">
        <v>102</v>
      </c>
      <c r="D83">
        <v>3</v>
      </c>
      <c r="E83">
        <v>6000</v>
      </c>
      <c r="F83">
        <v>1200</v>
      </c>
      <c r="G83" t="str">
        <f>VLOOKUP(C83, Sheet2!$A$2:$D$9, 2, FALSE)</f>
        <v>Jeans</v>
      </c>
      <c r="H83" t="str">
        <f>VLOOKUP(C83, Sheet2!$A$2:$D$9, 3, FALSE)</f>
        <v>Clothing</v>
      </c>
      <c r="I83" t="str">
        <f>VLOOKUP(A90, Sheet3!$A$2:$D$201, 3, FALSE)</f>
        <v>Hyderabad</v>
      </c>
      <c r="J83" t="str">
        <f>VLOOKUP(A83, Sheet3!$A$2:$D$201, 4, FALSE)</f>
        <v>South</v>
      </c>
      <c r="K83" t="str">
        <f>VLOOKUP(A83, Sheet3!$A$2:$D$201, 2, FALSE)</f>
        <v>FM_Blr</v>
      </c>
      <c r="L83" s="4">
        <f t="shared" si="1"/>
        <v>0.2</v>
      </c>
    </row>
    <row r="84" spans="1:12">
      <c r="A84">
        <v>83</v>
      </c>
      <c r="B84" s="1">
        <v>46082</v>
      </c>
      <c r="C84">
        <v>103</v>
      </c>
      <c r="D84">
        <v>4</v>
      </c>
      <c r="E84">
        <v>8000</v>
      </c>
      <c r="F84">
        <v>1600</v>
      </c>
      <c r="G84" t="str">
        <f>VLOOKUP(C84, Sheet2!$A$2:$D$9, 2, FALSE)</f>
        <v>Shoes</v>
      </c>
      <c r="H84" t="str">
        <f>VLOOKUP(C84, Sheet2!$A$2:$D$9, 3, FALSE)</f>
        <v>Footwear</v>
      </c>
      <c r="I84" t="str">
        <f>VLOOKUP(A91, Sheet3!$A$2:$D$201, 3, FALSE)</f>
        <v>Bangalore</v>
      </c>
      <c r="J84" t="str">
        <f>VLOOKUP(A84, Sheet3!$A$2:$D$201, 4, FALSE)</f>
        <v>West</v>
      </c>
      <c r="K84" t="str">
        <f>VLOOKUP(A84, Sheet3!$A$2:$D$201, 2, FALSE)</f>
        <v>FM_Mum</v>
      </c>
      <c r="L84" s="4">
        <f t="shared" si="1"/>
        <v>0.2</v>
      </c>
    </row>
    <row r="85" spans="1:12">
      <c r="A85">
        <v>84</v>
      </c>
      <c r="B85" s="1">
        <v>46113</v>
      </c>
      <c r="C85">
        <v>104</v>
      </c>
      <c r="D85">
        <v>2</v>
      </c>
      <c r="E85">
        <v>4000</v>
      </c>
      <c r="F85">
        <v>800</v>
      </c>
      <c r="G85" t="str">
        <f>VLOOKUP(C85, Sheet2!$A$2:$D$9, 2, FALSE)</f>
        <v>Jacket</v>
      </c>
      <c r="H85" t="str">
        <f>VLOOKUP(C85, Sheet2!$A$2:$D$9, 3, FALSE)</f>
        <v>Clothing</v>
      </c>
      <c r="I85" t="str">
        <f>VLOOKUP(A92, Sheet3!$A$2:$D$201, 3, FALSE)</f>
        <v>Mumbai</v>
      </c>
      <c r="J85" t="str">
        <f>VLOOKUP(A85, Sheet3!$A$2:$D$201, 4, FALSE)</f>
        <v>West</v>
      </c>
      <c r="K85" t="str">
        <f>VLOOKUP(A85, Sheet3!$A$2:$D$201, 2, FALSE)</f>
        <v>FM_Pune</v>
      </c>
      <c r="L85" s="4">
        <f t="shared" si="1"/>
        <v>0.2</v>
      </c>
    </row>
    <row r="86" spans="1:12">
      <c r="A86">
        <v>85</v>
      </c>
      <c r="B86" s="1">
        <v>46143</v>
      </c>
      <c r="C86">
        <v>105</v>
      </c>
      <c r="D86">
        <v>6</v>
      </c>
      <c r="E86">
        <v>9000</v>
      </c>
      <c r="F86">
        <v>1800</v>
      </c>
      <c r="G86" t="str">
        <f>VLOOKUP(C86, Sheet2!$A$2:$D$9, 2, FALSE)</f>
        <v>Sandals</v>
      </c>
      <c r="H86" t="str">
        <f>VLOOKUP(C86, Sheet2!$A$2:$D$9, 3, FALSE)</f>
        <v>Footwear</v>
      </c>
      <c r="I86" t="str">
        <f>VLOOKUP(A93, Sheet3!$A$2:$D$201, 3, FALSE)</f>
        <v>Pune</v>
      </c>
      <c r="J86" t="str">
        <f>VLOOKUP(A86, Sheet3!$A$2:$D$201, 4, FALSE)</f>
        <v>North</v>
      </c>
      <c r="K86" t="str">
        <f>VLOOKUP(A86, Sheet3!$A$2:$D$201, 2, FALSE)</f>
        <v>FM_Del</v>
      </c>
      <c r="L86" s="4">
        <f t="shared" si="1"/>
        <v>0.2</v>
      </c>
    </row>
    <row r="87" spans="1:12">
      <c r="A87">
        <v>86</v>
      </c>
      <c r="B87" s="1">
        <v>46174</v>
      </c>
      <c r="C87">
        <v>106</v>
      </c>
      <c r="D87">
        <v>5</v>
      </c>
      <c r="E87">
        <v>7500</v>
      </c>
      <c r="F87">
        <v>1500</v>
      </c>
      <c r="G87" t="str">
        <f>VLOOKUP(C87, Sheet2!$A$2:$D$9, 2, FALSE)</f>
        <v>Shirt</v>
      </c>
      <c r="H87" t="str">
        <f>VLOOKUP(C87, Sheet2!$A$2:$D$9, 3, FALSE)</f>
        <v>Clothing</v>
      </c>
      <c r="I87" t="str">
        <f>VLOOKUP(A94, Sheet3!$A$2:$D$201, 3, FALSE)</f>
        <v>Delhi</v>
      </c>
      <c r="J87" t="str">
        <f>VLOOKUP(A87, Sheet3!$A$2:$D$201, 4, FALSE)</f>
        <v>North</v>
      </c>
      <c r="K87" t="str">
        <f>VLOOKUP(A87, Sheet3!$A$2:$D$201, 2, FALSE)</f>
        <v>FM_Jaipur</v>
      </c>
      <c r="L87" s="4">
        <f t="shared" si="1"/>
        <v>0.2</v>
      </c>
    </row>
    <row r="88" spans="1:12">
      <c r="A88">
        <v>87</v>
      </c>
      <c r="B88" s="1">
        <v>46204</v>
      </c>
      <c r="C88">
        <v>107</v>
      </c>
      <c r="D88">
        <v>3</v>
      </c>
      <c r="E88">
        <v>6000</v>
      </c>
      <c r="F88">
        <v>1200</v>
      </c>
      <c r="G88" t="str">
        <f>VLOOKUP(C88, Sheet2!$A$2:$D$9, 2, FALSE)</f>
        <v>Sneakers</v>
      </c>
      <c r="H88" t="str">
        <f>VLOOKUP(C88, Sheet2!$A$2:$D$9, 3, FALSE)</f>
        <v>Footwear</v>
      </c>
      <c r="I88" t="str">
        <f>VLOOKUP(A95, Sheet3!$A$2:$D$201, 3, FALSE)</f>
        <v>Jaipur</v>
      </c>
      <c r="J88" t="str">
        <f>VLOOKUP(A88, Sheet3!$A$2:$D$201, 4, FALSE)</f>
        <v>East</v>
      </c>
      <c r="K88" t="str">
        <f>VLOOKUP(A88, Sheet3!$A$2:$D$201, 2, FALSE)</f>
        <v>FM_Kol</v>
      </c>
      <c r="L88" s="4">
        <f t="shared" si="1"/>
        <v>0.2</v>
      </c>
    </row>
    <row r="89" spans="1:12">
      <c r="A89">
        <v>88</v>
      </c>
      <c r="B89" s="1">
        <v>46235</v>
      </c>
      <c r="C89">
        <v>108</v>
      </c>
      <c r="D89">
        <v>4</v>
      </c>
      <c r="E89">
        <v>7000</v>
      </c>
      <c r="F89">
        <v>1400</v>
      </c>
      <c r="G89" t="str">
        <f>VLOOKUP(C89, Sheet2!$A$2:$D$9, 2, FALSE)</f>
        <v>Hoodie</v>
      </c>
      <c r="H89" t="str">
        <f>VLOOKUP(C89, Sheet2!$A$2:$D$9, 3, FALSE)</f>
        <v>Clothing</v>
      </c>
      <c r="I89" t="str">
        <f>VLOOKUP(A96, Sheet3!$A$2:$D$201, 3, FALSE)</f>
        <v>Kolkata</v>
      </c>
      <c r="J89" t="str">
        <f>VLOOKUP(A89, Sheet3!$A$2:$D$201, 4, FALSE)</f>
        <v>South</v>
      </c>
      <c r="K89" t="str">
        <f>VLOOKUP(A89, Sheet3!$A$2:$D$201, 2, FALSE)</f>
        <v>FM_Chennai</v>
      </c>
      <c r="L89" s="4">
        <f t="shared" si="1"/>
        <v>0.2</v>
      </c>
    </row>
    <row r="90" spans="1:12">
      <c r="A90">
        <v>89</v>
      </c>
      <c r="B90" s="1">
        <v>46266</v>
      </c>
      <c r="C90">
        <v>101</v>
      </c>
      <c r="D90">
        <v>6</v>
      </c>
      <c r="E90">
        <v>6000</v>
      </c>
      <c r="F90">
        <v>1200</v>
      </c>
      <c r="G90" t="str">
        <f>VLOOKUP(C90, Sheet2!$A$2:$D$9, 2, FALSE)</f>
        <v>T-Shirt</v>
      </c>
      <c r="H90" t="str">
        <f>VLOOKUP(C90, Sheet2!$A$2:$D$9, 3, FALSE)</f>
        <v>Clothing</v>
      </c>
      <c r="I90" t="str">
        <f>VLOOKUP(A97, Sheet3!$A$2:$D$201, 3, FALSE)</f>
        <v>Chennai</v>
      </c>
      <c r="J90" t="str">
        <f>VLOOKUP(A90, Sheet3!$A$2:$D$201, 4, FALSE)</f>
        <v>South</v>
      </c>
      <c r="K90" t="str">
        <f>VLOOKUP(A90, Sheet3!$A$2:$D$201, 2, FALSE)</f>
        <v>FM_Hyd</v>
      </c>
      <c r="L90" s="4">
        <f t="shared" si="1"/>
        <v>0.2</v>
      </c>
    </row>
    <row r="91" spans="1:12">
      <c r="A91">
        <v>90</v>
      </c>
      <c r="B91" s="1">
        <v>46296</v>
      </c>
      <c r="C91">
        <v>102</v>
      </c>
      <c r="D91">
        <v>4</v>
      </c>
      <c r="E91">
        <v>8000</v>
      </c>
      <c r="F91">
        <v>1600</v>
      </c>
      <c r="G91" t="str">
        <f>VLOOKUP(C91, Sheet2!$A$2:$D$9, 2, FALSE)</f>
        <v>Jeans</v>
      </c>
      <c r="H91" t="str">
        <f>VLOOKUP(C91, Sheet2!$A$2:$D$9, 3, FALSE)</f>
        <v>Clothing</v>
      </c>
      <c r="I91" t="str">
        <f>VLOOKUP(A98, Sheet3!$A$2:$D$201, 3, FALSE)</f>
        <v>Hyderabad</v>
      </c>
      <c r="J91" t="str">
        <f>VLOOKUP(A91, Sheet3!$A$2:$D$201, 4, FALSE)</f>
        <v>South</v>
      </c>
      <c r="K91" t="str">
        <f>VLOOKUP(A91, Sheet3!$A$2:$D$201, 2, FALSE)</f>
        <v>FM_Blr</v>
      </c>
      <c r="L91" s="4">
        <f t="shared" si="1"/>
        <v>0.2</v>
      </c>
    </row>
    <row r="92" spans="1:12">
      <c r="A92">
        <v>91</v>
      </c>
      <c r="B92" s="1">
        <v>46023</v>
      </c>
      <c r="C92">
        <v>101</v>
      </c>
      <c r="D92">
        <v>5</v>
      </c>
      <c r="E92">
        <v>5000</v>
      </c>
      <c r="F92">
        <v>1000</v>
      </c>
      <c r="G92" t="str">
        <f>VLOOKUP(C92, Sheet2!$A$2:$D$9, 2, FALSE)</f>
        <v>T-Shirt</v>
      </c>
      <c r="H92" t="str">
        <f>VLOOKUP(C92, Sheet2!$A$2:$D$9, 3, FALSE)</f>
        <v>Clothing</v>
      </c>
      <c r="I92" t="str">
        <f>VLOOKUP(A99, Sheet3!$A$2:$D$201, 3, FALSE)</f>
        <v>Bangalore</v>
      </c>
      <c r="J92" t="str">
        <f>VLOOKUP(A92, Sheet3!$A$2:$D$201, 4, FALSE)</f>
        <v>West</v>
      </c>
      <c r="K92" t="str">
        <f>VLOOKUP(A92, Sheet3!$A$2:$D$201, 2, FALSE)</f>
        <v>FM_Mum</v>
      </c>
      <c r="L92" s="4">
        <f t="shared" si="1"/>
        <v>0.2</v>
      </c>
    </row>
    <row r="93" spans="1:12">
      <c r="A93">
        <v>92</v>
      </c>
      <c r="B93" s="1">
        <v>46054</v>
      </c>
      <c r="C93">
        <v>102</v>
      </c>
      <c r="D93">
        <v>3</v>
      </c>
      <c r="E93">
        <v>6000</v>
      </c>
      <c r="F93">
        <v>1200</v>
      </c>
      <c r="G93" t="str">
        <f>VLOOKUP(C93, Sheet2!$A$2:$D$9, 2, FALSE)</f>
        <v>Jeans</v>
      </c>
      <c r="H93" t="str">
        <f>VLOOKUP(C93, Sheet2!$A$2:$D$9, 3, FALSE)</f>
        <v>Clothing</v>
      </c>
      <c r="I93" t="str">
        <f>VLOOKUP(A100, Sheet3!$A$2:$D$201, 3, FALSE)</f>
        <v>Mumbai</v>
      </c>
      <c r="J93" t="str">
        <f>VLOOKUP(A93, Sheet3!$A$2:$D$201, 4, FALSE)</f>
        <v>West</v>
      </c>
      <c r="K93" t="str">
        <f>VLOOKUP(A93, Sheet3!$A$2:$D$201, 2, FALSE)</f>
        <v>FM_Pune</v>
      </c>
      <c r="L93" s="4">
        <f t="shared" si="1"/>
        <v>0.2</v>
      </c>
    </row>
    <row r="94" spans="1:12">
      <c r="A94">
        <v>93</v>
      </c>
      <c r="B94" s="1">
        <v>46082</v>
      </c>
      <c r="C94">
        <v>103</v>
      </c>
      <c r="D94">
        <v>4</v>
      </c>
      <c r="E94">
        <v>8000</v>
      </c>
      <c r="F94">
        <v>1600</v>
      </c>
      <c r="G94" t="str">
        <f>VLOOKUP(C94, Sheet2!$A$2:$D$9, 2, FALSE)</f>
        <v>Shoes</v>
      </c>
      <c r="H94" t="str">
        <f>VLOOKUP(C94, Sheet2!$A$2:$D$9, 3, FALSE)</f>
        <v>Footwear</v>
      </c>
      <c r="I94" t="str">
        <f>VLOOKUP(A101, Sheet3!$A$2:$D$201, 3, FALSE)</f>
        <v>Pune</v>
      </c>
      <c r="J94" t="str">
        <f>VLOOKUP(A94, Sheet3!$A$2:$D$201, 4, FALSE)</f>
        <v>North</v>
      </c>
      <c r="K94" t="str">
        <f>VLOOKUP(A94, Sheet3!$A$2:$D$201, 2, FALSE)</f>
        <v>FM_Del</v>
      </c>
      <c r="L94" s="4">
        <f t="shared" si="1"/>
        <v>0.2</v>
      </c>
    </row>
    <row r="95" spans="1:12">
      <c r="A95">
        <v>94</v>
      </c>
      <c r="B95" s="1">
        <v>46113</v>
      </c>
      <c r="C95">
        <v>104</v>
      </c>
      <c r="D95">
        <v>2</v>
      </c>
      <c r="E95">
        <v>4000</v>
      </c>
      <c r="F95">
        <v>800</v>
      </c>
      <c r="G95" t="str">
        <f>VLOOKUP(C95, Sheet2!$A$2:$D$9, 2, FALSE)</f>
        <v>Jacket</v>
      </c>
      <c r="H95" t="str">
        <f>VLOOKUP(C95, Sheet2!$A$2:$D$9, 3, FALSE)</f>
        <v>Clothing</v>
      </c>
      <c r="I95" t="str">
        <f>VLOOKUP(A102, Sheet3!$A$2:$D$201, 3, FALSE)</f>
        <v>Delhi</v>
      </c>
      <c r="J95" t="str">
        <f>VLOOKUP(A95, Sheet3!$A$2:$D$201, 4, FALSE)</f>
        <v>North</v>
      </c>
      <c r="K95" t="str">
        <f>VLOOKUP(A95, Sheet3!$A$2:$D$201, 2, FALSE)</f>
        <v>FM_Jaipur</v>
      </c>
      <c r="L95" s="4">
        <f t="shared" si="1"/>
        <v>0.2</v>
      </c>
    </row>
    <row r="96" spans="1:12">
      <c r="A96">
        <v>95</v>
      </c>
      <c r="B96" s="1">
        <v>46143</v>
      </c>
      <c r="C96">
        <v>105</v>
      </c>
      <c r="D96">
        <v>6</v>
      </c>
      <c r="E96">
        <v>9000</v>
      </c>
      <c r="F96">
        <v>1800</v>
      </c>
      <c r="G96" t="str">
        <f>VLOOKUP(C96, Sheet2!$A$2:$D$9, 2, FALSE)</f>
        <v>Sandals</v>
      </c>
      <c r="H96" t="str">
        <f>VLOOKUP(C96, Sheet2!$A$2:$D$9, 3, FALSE)</f>
        <v>Footwear</v>
      </c>
      <c r="I96" t="str">
        <f>VLOOKUP(A103, Sheet3!$A$2:$D$201, 3, FALSE)</f>
        <v>Jaipur</v>
      </c>
      <c r="J96" t="str">
        <f>VLOOKUP(A96, Sheet3!$A$2:$D$201, 4, FALSE)</f>
        <v>East</v>
      </c>
      <c r="K96" t="str">
        <f>VLOOKUP(A96, Sheet3!$A$2:$D$201, 2, FALSE)</f>
        <v>FM_Kol</v>
      </c>
      <c r="L96" s="4">
        <f t="shared" si="1"/>
        <v>0.2</v>
      </c>
    </row>
    <row r="97" spans="1:12">
      <c r="A97">
        <v>96</v>
      </c>
      <c r="B97" s="1">
        <v>46174</v>
      </c>
      <c r="C97">
        <v>106</v>
      </c>
      <c r="D97">
        <v>5</v>
      </c>
      <c r="E97">
        <v>7500</v>
      </c>
      <c r="F97">
        <v>1500</v>
      </c>
      <c r="G97" t="str">
        <f>VLOOKUP(C97, Sheet2!$A$2:$D$9, 2, FALSE)</f>
        <v>Shirt</v>
      </c>
      <c r="H97" t="str">
        <f>VLOOKUP(C97, Sheet2!$A$2:$D$9, 3, FALSE)</f>
        <v>Clothing</v>
      </c>
      <c r="I97" t="str">
        <f>VLOOKUP(A104, Sheet3!$A$2:$D$201, 3, FALSE)</f>
        <v>Kolkata</v>
      </c>
      <c r="J97" t="str">
        <f>VLOOKUP(A97, Sheet3!$A$2:$D$201, 4, FALSE)</f>
        <v>South</v>
      </c>
      <c r="K97" t="str">
        <f>VLOOKUP(A97, Sheet3!$A$2:$D$201, 2, FALSE)</f>
        <v>FM_Chennai</v>
      </c>
      <c r="L97" s="4">
        <f t="shared" si="1"/>
        <v>0.2</v>
      </c>
    </row>
    <row r="98" spans="1:12">
      <c r="A98">
        <v>97</v>
      </c>
      <c r="B98" s="1">
        <v>46204</v>
      </c>
      <c r="C98">
        <v>107</v>
      </c>
      <c r="D98">
        <v>3</v>
      </c>
      <c r="E98">
        <v>6000</v>
      </c>
      <c r="F98">
        <v>1200</v>
      </c>
      <c r="G98" t="str">
        <f>VLOOKUP(C98, Sheet2!$A$2:$D$9, 2, FALSE)</f>
        <v>Sneakers</v>
      </c>
      <c r="H98" t="str">
        <f>VLOOKUP(C98, Sheet2!$A$2:$D$9, 3, FALSE)</f>
        <v>Footwear</v>
      </c>
      <c r="I98" t="str">
        <f>VLOOKUP(A105, Sheet3!$A$2:$D$201, 3, FALSE)</f>
        <v>Chennai</v>
      </c>
      <c r="J98" t="str">
        <f>VLOOKUP(A98, Sheet3!$A$2:$D$201, 4, FALSE)</f>
        <v>South</v>
      </c>
      <c r="K98" t="str">
        <f>VLOOKUP(A98, Sheet3!$A$2:$D$201, 2, FALSE)</f>
        <v>FM_Hyd</v>
      </c>
      <c r="L98" s="4">
        <f t="shared" si="1"/>
        <v>0.2</v>
      </c>
    </row>
    <row r="99" spans="1:12">
      <c r="A99">
        <v>98</v>
      </c>
      <c r="B99" s="1">
        <v>46235</v>
      </c>
      <c r="C99">
        <v>108</v>
      </c>
      <c r="D99">
        <v>4</v>
      </c>
      <c r="E99">
        <v>7000</v>
      </c>
      <c r="F99">
        <v>1400</v>
      </c>
      <c r="G99" t="str">
        <f>VLOOKUP(C99, Sheet2!$A$2:$D$9, 2, FALSE)</f>
        <v>Hoodie</v>
      </c>
      <c r="H99" t="str">
        <f>VLOOKUP(C99, Sheet2!$A$2:$D$9, 3, FALSE)</f>
        <v>Clothing</v>
      </c>
      <c r="I99" t="str">
        <f>VLOOKUP(A106, Sheet3!$A$2:$D$201, 3, FALSE)</f>
        <v>Hyderabad</v>
      </c>
      <c r="J99" t="str">
        <f>VLOOKUP(A99, Sheet3!$A$2:$D$201, 4, FALSE)</f>
        <v>South</v>
      </c>
      <c r="K99" t="str">
        <f>VLOOKUP(A99, Sheet3!$A$2:$D$201, 2, FALSE)</f>
        <v>FM_Blr</v>
      </c>
      <c r="L99" s="4">
        <f t="shared" si="1"/>
        <v>0.2</v>
      </c>
    </row>
    <row r="100" spans="1:12">
      <c r="A100">
        <v>99</v>
      </c>
      <c r="B100" s="1">
        <v>46266</v>
      </c>
      <c r="C100">
        <v>101</v>
      </c>
      <c r="D100">
        <v>6</v>
      </c>
      <c r="E100">
        <v>6000</v>
      </c>
      <c r="F100">
        <v>1200</v>
      </c>
      <c r="G100" t="str">
        <f>VLOOKUP(C100, Sheet2!$A$2:$D$9, 2, FALSE)</f>
        <v>T-Shirt</v>
      </c>
      <c r="H100" t="str">
        <f>VLOOKUP(C100, Sheet2!$A$2:$D$9, 3, FALSE)</f>
        <v>Clothing</v>
      </c>
      <c r="I100" t="str">
        <f>VLOOKUP(A107, Sheet3!$A$2:$D$201, 3, FALSE)</f>
        <v>Bangalore</v>
      </c>
      <c r="J100" t="str">
        <f>VLOOKUP(A100, Sheet3!$A$2:$D$201, 4, FALSE)</f>
        <v>West</v>
      </c>
      <c r="K100" t="str">
        <f>VLOOKUP(A100, Sheet3!$A$2:$D$201, 2, FALSE)</f>
        <v>FM_Mum</v>
      </c>
      <c r="L100" s="4">
        <f t="shared" si="1"/>
        <v>0.2</v>
      </c>
    </row>
    <row r="101" spans="1:12">
      <c r="A101">
        <v>100</v>
      </c>
      <c r="B101" s="1">
        <v>46296</v>
      </c>
      <c r="C101">
        <v>102</v>
      </c>
      <c r="D101">
        <v>4</v>
      </c>
      <c r="E101">
        <v>8000</v>
      </c>
      <c r="F101">
        <v>1600</v>
      </c>
      <c r="G101" t="str">
        <f>VLOOKUP(C101, Sheet2!$A$2:$D$9, 2, FALSE)</f>
        <v>Jeans</v>
      </c>
      <c r="H101" t="str">
        <f>VLOOKUP(C101, Sheet2!$A$2:$D$9, 3, FALSE)</f>
        <v>Clothing</v>
      </c>
      <c r="I101" t="str">
        <f>VLOOKUP(A108, Sheet3!$A$2:$D$201, 3, FALSE)</f>
        <v>Mumbai</v>
      </c>
      <c r="J101" t="str">
        <f>VLOOKUP(A101, Sheet3!$A$2:$D$201, 4, FALSE)</f>
        <v>West</v>
      </c>
      <c r="K101" t="str">
        <f>VLOOKUP(A101, Sheet3!$A$2:$D$201, 2, FALSE)</f>
        <v>FM_Pune</v>
      </c>
      <c r="L101" s="4">
        <f t="shared" si="1"/>
        <v>0.2</v>
      </c>
    </row>
    <row r="102" spans="1:12">
      <c r="A102">
        <v>101</v>
      </c>
      <c r="B102" s="1">
        <v>46023</v>
      </c>
      <c r="C102">
        <v>101</v>
      </c>
      <c r="D102">
        <v>5</v>
      </c>
      <c r="E102">
        <v>5000</v>
      </c>
      <c r="F102">
        <v>1000</v>
      </c>
      <c r="G102" t="str">
        <f>VLOOKUP(C102, Sheet2!$A$2:$D$9, 2, FALSE)</f>
        <v>T-Shirt</v>
      </c>
      <c r="H102" t="str">
        <f>VLOOKUP(C102, Sheet2!$A$2:$D$9, 3, FALSE)</f>
        <v>Clothing</v>
      </c>
      <c r="I102" t="str">
        <f>VLOOKUP(A109, Sheet3!$A$2:$D$201, 3, FALSE)</f>
        <v>Pune</v>
      </c>
      <c r="J102" t="str">
        <f>VLOOKUP(A102, Sheet3!$A$2:$D$201, 4, FALSE)</f>
        <v>North</v>
      </c>
      <c r="K102" t="str">
        <f>VLOOKUP(A102, Sheet3!$A$2:$D$201, 2, FALSE)</f>
        <v>FM_Del</v>
      </c>
      <c r="L102" s="4">
        <f t="shared" si="1"/>
        <v>0.2</v>
      </c>
    </row>
    <row r="103" spans="1:12">
      <c r="A103">
        <v>102</v>
      </c>
      <c r="B103" s="1">
        <v>46054</v>
      </c>
      <c r="C103">
        <v>102</v>
      </c>
      <c r="D103">
        <v>3</v>
      </c>
      <c r="E103">
        <v>6000</v>
      </c>
      <c r="F103">
        <v>1200</v>
      </c>
      <c r="G103" t="str">
        <f>VLOOKUP(C103, Sheet2!$A$2:$D$9, 2, FALSE)</f>
        <v>Jeans</v>
      </c>
      <c r="H103" t="str">
        <f>VLOOKUP(C103, Sheet2!$A$2:$D$9, 3, FALSE)</f>
        <v>Clothing</v>
      </c>
      <c r="I103" t="str">
        <f>VLOOKUP(A110, Sheet3!$A$2:$D$201, 3, FALSE)</f>
        <v>Delhi</v>
      </c>
      <c r="J103" t="str">
        <f>VLOOKUP(A103, Sheet3!$A$2:$D$201, 4, FALSE)</f>
        <v>North</v>
      </c>
      <c r="K103" t="str">
        <f>VLOOKUP(A103, Sheet3!$A$2:$D$201, 2, FALSE)</f>
        <v>FM_Jaipur</v>
      </c>
      <c r="L103" s="4">
        <f t="shared" si="1"/>
        <v>0.2</v>
      </c>
    </row>
    <row r="104" spans="1:12">
      <c r="A104">
        <v>103</v>
      </c>
      <c r="B104" s="1">
        <v>46082</v>
      </c>
      <c r="C104">
        <v>103</v>
      </c>
      <c r="D104">
        <v>4</v>
      </c>
      <c r="E104">
        <v>8000</v>
      </c>
      <c r="F104">
        <v>1600</v>
      </c>
      <c r="G104" t="str">
        <f>VLOOKUP(C104, Sheet2!$A$2:$D$9, 2, FALSE)</f>
        <v>Shoes</v>
      </c>
      <c r="H104" t="str">
        <f>VLOOKUP(C104, Sheet2!$A$2:$D$9, 3, FALSE)</f>
        <v>Footwear</v>
      </c>
      <c r="I104" t="str">
        <f>VLOOKUP(A111, Sheet3!$A$2:$D$201, 3, FALSE)</f>
        <v>Jaipur</v>
      </c>
      <c r="J104" t="str">
        <f>VLOOKUP(A104, Sheet3!$A$2:$D$201, 4, FALSE)</f>
        <v>East</v>
      </c>
      <c r="K104" t="str">
        <f>VLOOKUP(A104, Sheet3!$A$2:$D$201, 2, FALSE)</f>
        <v>FM_Kol</v>
      </c>
      <c r="L104" s="4">
        <f t="shared" si="1"/>
        <v>0.2</v>
      </c>
    </row>
    <row r="105" spans="1:12">
      <c r="A105">
        <v>104</v>
      </c>
      <c r="B105" s="1">
        <v>46113</v>
      </c>
      <c r="C105">
        <v>104</v>
      </c>
      <c r="D105">
        <v>2</v>
      </c>
      <c r="E105">
        <v>4000</v>
      </c>
      <c r="F105">
        <v>800</v>
      </c>
      <c r="G105" t="str">
        <f>VLOOKUP(C105, Sheet2!$A$2:$D$9, 2, FALSE)</f>
        <v>Jacket</v>
      </c>
      <c r="H105" t="str">
        <f>VLOOKUP(C105, Sheet2!$A$2:$D$9, 3, FALSE)</f>
        <v>Clothing</v>
      </c>
      <c r="I105" t="str">
        <f>VLOOKUP(A112, Sheet3!$A$2:$D$201, 3, FALSE)</f>
        <v>Kolkata</v>
      </c>
      <c r="J105" t="str">
        <f>VLOOKUP(A105, Sheet3!$A$2:$D$201, 4, FALSE)</f>
        <v>South</v>
      </c>
      <c r="K105" t="str">
        <f>VLOOKUP(A105, Sheet3!$A$2:$D$201, 2, FALSE)</f>
        <v>FM_Chennai</v>
      </c>
      <c r="L105" s="4">
        <f t="shared" si="1"/>
        <v>0.2</v>
      </c>
    </row>
    <row r="106" spans="1:12">
      <c r="A106">
        <v>105</v>
      </c>
      <c r="B106" s="1">
        <v>46143</v>
      </c>
      <c r="C106">
        <v>105</v>
      </c>
      <c r="D106">
        <v>6</v>
      </c>
      <c r="E106">
        <v>9000</v>
      </c>
      <c r="F106">
        <v>1800</v>
      </c>
      <c r="G106" t="str">
        <f>VLOOKUP(C106, Sheet2!$A$2:$D$9, 2, FALSE)</f>
        <v>Sandals</v>
      </c>
      <c r="H106" t="str">
        <f>VLOOKUP(C106, Sheet2!$A$2:$D$9, 3, FALSE)</f>
        <v>Footwear</v>
      </c>
      <c r="I106" t="str">
        <f>VLOOKUP(A113, Sheet3!$A$2:$D$201, 3, FALSE)</f>
        <v>Chennai</v>
      </c>
      <c r="J106" t="str">
        <f>VLOOKUP(A106, Sheet3!$A$2:$D$201, 4, FALSE)</f>
        <v>South</v>
      </c>
      <c r="K106" t="str">
        <f>VLOOKUP(A106, Sheet3!$A$2:$D$201, 2, FALSE)</f>
        <v>FM_Hyd</v>
      </c>
      <c r="L106" s="4">
        <f t="shared" si="1"/>
        <v>0.2</v>
      </c>
    </row>
    <row r="107" spans="1:12">
      <c r="A107">
        <v>106</v>
      </c>
      <c r="B107" s="1">
        <v>46174</v>
      </c>
      <c r="C107">
        <v>106</v>
      </c>
      <c r="D107">
        <v>5</v>
      </c>
      <c r="E107">
        <v>7500</v>
      </c>
      <c r="F107">
        <v>1500</v>
      </c>
      <c r="G107" t="str">
        <f>VLOOKUP(C107, Sheet2!$A$2:$D$9, 2, FALSE)</f>
        <v>Shirt</v>
      </c>
      <c r="H107" t="str">
        <f>VLOOKUP(C107, Sheet2!$A$2:$D$9, 3, FALSE)</f>
        <v>Clothing</v>
      </c>
      <c r="I107" t="str">
        <f>VLOOKUP(A114, Sheet3!$A$2:$D$201, 3, FALSE)</f>
        <v>Hyderabad</v>
      </c>
      <c r="J107" t="str">
        <f>VLOOKUP(A107, Sheet3!$A$2:$D$201, 4, FALSE)</f>
        <v>South</v>
      </c>
      <c r="K107" t="str">
        <f>VLOOKUP(A107, Sheet3!$A$2:$D$201, 2, FALSE)</f>
        <v>FM_Blr</v>
      </c>
      <c r="L107" s="4">
        <f t="shared" si="1"/>
        <v>0.2</v>
      </c>
    </row>
    <row r="108" spans="1:12">
      <c r="A108">
        <v>107</v>
      </c>
      <c r="B108" s="1">
        <v>46204</v>
      </c>
      <c r="C108">
        <v>107</v>
      </c>
      <c r="D108">
        <v>3</v>
      </c>
      <c r="E108">
        <v>6000</v>
      </c>
      <c r="F108">
        <v>1200</v>
      </c>
      <c r="G108" t="str">
        <f>VLOOKUP(C108, Sheet2!$A$2:$D$9, 2, FALSE)</f>
        <v>Sneakers</v>
      </c>
      <c r="H108" t="str">
        <f>VLOOKUP(C108, Sheet2!$A$2:$D$9, 3, FALSE)</f>
        <v>Footwear</v>
      </c>
      <c r="I108" t="str">
        <f>VLOOKUP(A115, Sheet3!$A$2:$D$201, 3, FALSE)</f>
        <v>Bangalore</v>
      </c>
      <c r="J108" t="str">
        <f>VLOOKUP(A108, Sheet3!$A$2:$D$201, 4, FALSE)</f>
        <v>West</v>
      </c>
      <c r="K108" t="str">
        <f>VLOOKUP(A108, Sheet3!$A$2:$D$201, 2, FALSE)</f>
        <v>FM_Mum</v>
      </c>
      <c r="L108" s="4">
        <f t="shared" si="1"/>
        <v>0.2</v>
      </c>
    </row>
    <row r="109" spans="1:12">
      <c r="A109">
        <v>108</v>
      </c>
      <c r="B109" s="1">
        <v>46235</v>
      </c>
      <c r="C109">
        <v>108</v>
      </c>
      <c r="D109">
        <v>4</v>
      </c>
      <c r="E109">
        <v>7000</v>
      </c>
      <c r="F109">
        <v>1400</v>
      </c>
      <c r="G109" t="str">
        <f>VLOOKUP(C109, Sheet2!$A$2:$D$9, 2, FALSE)</f>
        <v>Hoodie</v>
      </c>
      <c r="H109" t="str">
        <f>VLOOKUP(C109, Sheet2!$A$2:$D$9, 3, FALSE)</f>
        <v>Clothing</v>
      </c>
      <c r="I109" t="str">
        <f>VLOOKUP(A116, Sheet3!$A$2:$D$201, 3, FALSE)</f>
        <v>Mumbai</v>
      </c>
      <c r="J109" t="str">
        <f>VLOOKUP(A109, Sheet3!$A$2:$D$201, 4, FALSE)</f>
        <v>West</v>
      </c>
      <c r="K109" t="str">
        <f>VLOOKUP(A109, Sheet3!$A$2:$D$201, 2, FALSE)</f>
        <v>FM_Pune</v>
      </c>
      <c r="L109" s="4">
        <f t="shared" si="1"/>
        <v>0.2</v>
      </c>
    </row>
    <row r="110" spans="1:12">
      <c r="A110">
        <v>109</v>
      </c>
      <c r="B110" s="1">
        <v>46266</v>
      </c>
      <c r="C110">
        <v>101</v>
      </c>
      <c r="D110">
        <v>6</v>
      </c>
      <c r="E110">
        <v>6000</v>
      </c>
      <c r="F110">
        <v>1200</v>
      </c>
      <c r="G110" t="str">
        <f>VLOOKUP(C110, Sheet2!$A$2:$D$9, 2, FALSE)</f>
        <v>T-Shirt</v>
      </c>
      <c r="H110" t="str">
        <f>VLOOKUP(C110, Sheet2!$A$2:$D$9, 3, FALSE)</f>
        <v>Clothing</v>
      </c>
      <c r="I110" t="str">
        <f>VLOOKUP(A117, Sheet3!$A$2:$D$201, 3, FALSE)</f>
        <v>Pune</v>
      </c>
      <c r="J110" t="str">
        <f>VLOOKUP(A110, Sheet3!$A$2:$D$201, 4, FALSE)</f>
        <v>North</v>
      </c>
      <c r="K110" t="str">
        <f>VLOOKUP(A110, Sheet3!$A$2:$D$201, 2, FALSE)</f>
        <v>FM_Del</v>
      </c>
      <c r="L110" s="4">
        <f t="shared" si="1"/>
        <v>0.2</v>
      </c>
    </row>
    <row r="111" spans="1:12">
      <c r="A111">
        <v>110</v>
      </c>
      <c r="B111" s="1">
        <v>46296</v>
      </c>
      <c r="C111">
        <v>102</v>
      </c>
      <c r="D111">
        <v>4</v>
      </c>
      <c r="E111">
        <v>8000</v>
      </c>
      <c r="F111">
        <v>1600</v>
      </c>
      <c r="G111" t="str">
        <f>VLOOKUP(C111, Sheet2!$A$2:$D$9, 2, FALSE)</f>
        <v>Jeans</v>
      </c>
      <c r="H111" t="str">
        <f>VLOOKUP(C111, Sheet2!$A$2:$D$9, 3, FALSE)</f>
        <v>Clothing</v>
      </c>
      <c r="I111" t="str">
        <f>VLOOKUP(A118, Sheet3!$A$2:$D$201, 3, FALSE)</f>
        <v>Delhi</v>
      </c>
      <c r="J111" t="str">
        <f>VLOOKUP(A111, Sheet3!$A$2:$D$201, 4, FALSE)</f>
        <v>North</v>
      </c>
      <c r="K111" t="str">
        <f>VLOOKUP(A111, Sheet3!$A$2:$D$201, 2, FALSE)</f>
        <v>FM_Jaipur</v>
      </c>
      <c r="L111" s="4">
        <f t="shared" si="1"/>
        <v>0.2</v>
      </c>
    </row>
    <row r="112" spans="1:12">
      <c r="A112">
        <v>111</v>
      </c>
      <c r="B112" s="1">
        <v>46023</v>
      </c>
      <c r="C112">
        <v>101</v>
      </c>
      <c r="D112">
        <v>5</v>
      </c>
      <c r="E112">
        <v>5000</v>
      </c>
      <c r="F112">
        <v>1000</v>
      </c>
      <c r="G112" t="str">
        <f>VLOOKUP(C112, Sheet2!$A$2:$D$9, 2, FALSE)</f>
        <v>T-Shirt</v>
      </c>
      <c r="H112" t="str">
        <f>VLOOKUP(C112, Sheet2!$A$2:$D$9, 3, FALSE)</f>
        <v>Clothing</v>
      </c>
      <c r="I112" t="str">
        <f>VLOOKUP(A119, Sheet3!$A$2:$D$201, 3, FALSE)</f>
        <v>Jaipur</v>
      </c>
      <c r="J112" t="str">
        <f>VLOOKUP(A112, Sheet3!$A$2:$D$201, 4, FALSE)</f>
        <v>East</v>
      </c>
      <c r="K112" t="str">
        <f>VLOOKUP(A112, Sheet3!$A$2:$D$201, 2, FALSE)</f>
        <v>FM_Kol</v>
      </c>
      <c r="L112" s="4">
        <f t="shared" si="1"/>
        <v>0.2</v>
      </c>
    </row>
    <row r="113" spans="1:12">
      <c r="A113">
        <v>112</v>
      </c>
      <c r="B113" s="1">
        <v>46054</v>
      </c>
      <c r="C113">
        <v>102</v>
      </c>
      <c r="D113">
        <v>3</v>
      </c>
      <c r="E113">
        <v>6000</v>
      </c>
      <c r="F113">
        <v>1200</v>
      </c>
      <c r="G113" t="str">
        <f>VLOOKUP(C113, Sheet2!$A$2:$D$9, 2, FALSE)</f>
        <v>Jeans</v>
      </c>
      <c r="H113" t="str">
        <f>VLOOKUP(C113, Sheet2!$A$2:$D$9, 3, FALSE)</f>
        <v>Clothing</v>
      </c>
      <c r="I113" t="str">
        <f>VLOOKUP(A120, Sheet3!$A$2:$D$201, 3, FALSE)</f>
        <v>Kolkata</v>
      </c>
      <c r="J113" t="str">
        <f>VLOOKUP(A113, Sheet3!$A$2:$D$201, 4, FALSE)</f>
        <v>South</v>
      </c>
      <c r="K113" t="str">
        <f>VLOOKUP(A113, Sheet3!$A$2:$D$201, 2, FALSE)</f>
        <v>FM_Chennai</v>
      </c>
      <c r="L113" s="4">
        <f t="shared" si="1"/>
        <v>0.2</v>
      </c>
    </row>
    <row r="114" spans="1:12">
      <c r="A114">
        <v>113</v>
      </c>
      <c r="B114" s="1">
        <v>46082</v>
      </c>
      <c r="C114">
        <v>103</v>
      </c>
      <c r="D114">
        <v>4</v>
      </c>
      <c r="E114">
        <v>8000</v>
      </c>
      <c r="F114">
        <v>1600</v>
      </c>
      <c r="G114" t="str">
        <f>VLOOKUP(C114, Sheet2!$A$2:$D$9, 2, FALSE)</f>
        <v>Shoes</v>
      </c>
      <c r="H114" t="str">
        <f>VLOOKUP(C114, Sheet2!$A$2:$D$9, 3, FALSE)</f>
        <v>Footwear</v>
      </c>
      <c r="I114" t="str">
        <f>VLOOKUP(A121, Sheet3!$A$2:$D$201, 3, FALSE)</f>
        <v>Chennai</v>
      </c>
      <c r="J114" t="str">
        <f>VLOOKUP(A114, Sheet3!$A$2:$D$201, 4, FALSE)</f>
        <v>South</v>
      </c>
      <c r="K114" t="str">
        <f>VLOOKUP(A114, Sheet3!$A$2:$D$201, 2, FALSE)</f>
        <v>FM_Hyd</v>
      </c>
      <c r="L114" s="4">
        <f t="shared" si="1"/>
        <v>0.2</v>
      </c>
    </row>
    <row r="115" spans="1:12">
      <c r="A115">
        <v>114</v>
      </c>
      <c r="B115" s="1">
        <v>46113</v>
      </c>
      <c r="C115">
        <v>104</v>
      </c>
      <c r="D115">
        <v>2</v>
      </c>
      <c r="E115">
        <v>4000</v>
      </c>
      <c r="F115">
        <v>800</v>
      </c>
      <c r="G115" t="str">
        <f>VLOOKUP(C115, Sheet2!$A$2:$D$9, 2, FALSE)</f>
        <v>Jacket</v>
      </c>
      <c r="H115" t="str">
        <f>VLOOKUP(C115, Sheet2!$A$2:$D$9, 3, FALSE)</f>
        <v>Clothing</v>
      </c>
      <c r="I115" t="str">
        <f>VLOOKUP(A122, Sheet3!$A$2:$D$201, 3, FALSE)</f>
        <v>Hyderabad</v>
      </c>
      <c r="J115" t="str">
        <f>VLOOKUP(A115, Sheet3!$A$2:$D$201, 4, FALSE)</f>
        <v>South</v>
      </c>
      <c r="K115" t="str">
        <f>VLOOKUP(A115, Sheet3!$A$2:$D$201, 2, FALSE)</f>
        <v>FM_Blr</v>
      </c>
      <c r="L115" s="4">
        <f t="shared" si="1"/>
        <v>0.2</v>
      </c>
    </row>
    <row r="116" spans="1:12">
      <c r="A116">
        <v>115</v>
      </c>
      <c r="B116" s="1">
        <v>46143</v>
      </c>
      <c r="C116">
        <v>105</v>
      </c>
      <c r="D116">
        <v>6</v>
      </c>
      <c r="E116">
        <v>9000</v>
      </c>
      <c r="F116">
        <v>1800</v>
      </c>
      <c r="G116" t="str">
        <f>VLOOKUP(C116, Sheet2!$A$2:$D$9, 2, FALSE)</f>
        <v>Sandals</v>
      </c>
      <c r="H116" t="str">
        <f>VLOOKUP(C116, Sheet2!$A$2:$D$9, 3, FALSE)</f>
        <v>Footwear</v>
      </c>
      <c r="I116" t="str">
        <f>VLOOKUP(A123, Sheet3!$A$2:$D$201, 3, FALSE)</f>
        <v>Bangalore</v>
      </c>
      <c r="J116" t="str">
        <f>VLOOKUP(A116, Sheet3!$A$2:$D$201, 4, FALSE)</f>
        <v>West</v>
      </c>
      <c r="K116" t="str">
        <f>VLOOKUP(A116, Sheet3!$A$2:$D$201, 2, FALSE)</f>
        <v>FM_Mum</v>
      </c>
      <c r="L116" s="4">
        <f t="shared" si="1"/>
        <v>0.2</v>
      </c>
    </row>
    <row r="117" spans="1:12">
      <c r="A117">
        <v>116</v>
      </c>
      <c r="B117" s="1">
        <v>46174</v>
      </c>
      <c r="C117">
        <v>106</v>
      </c>
      <c r="D117">
        <v>5</v>
      </c>
      <c r="E117">
        <v>7500</v>
      </c>
      <c r="F117">
        <v>1500</v>
      </c>
      <c r="G117" t="str">
        <f>VLOOKUP(C117, Sheet2!$A$2:$D$9, 2, FALSE)</f>
        <v>Shirt</v>
      </c>
      <c r="H117" t="str">
        <f>VLOOKUP(C117, Sheet2!$A$2:$D$9, 3, FALSE)</f>
        <v>Clothing</v>
      </c>
      <c r="I117" t="str">
        <f>VLOOKUP(A124, Sheet3!$A$2:$D$201, 3, FALSE)</f>
        <v>Mumbai</v>
      </c>
      <c r="J117" t="str">
        <f>VLOOKUP(A117, Sheet3!$A$2:$D$201, 4, FALSE)</f>
        <v>West</v>
      </c>
      <c r="K117" t="str">
        <f>VLOOKUP(A117, Sheet3!$A$2:$D$201, 2, FALSE)</f>
        <v>FM_Pune</v>
      </c>
      <c r="L117" s="4">
        <f t="shared" si="1"/>
        <v>0.2</v>
      </c>
    </row>
    <row r="118" spans="1:12">
      <c r="A118">
        <v>117</v>
      </c>
      <c r="B118" s="1">
        <v>46204</v>
      </c>
      <c r="C118">
        <v>107</v>
      </c>
      <c r="D118">
        <v>3</v>
      </c>
      <c r="E118">
        <v>6000</v>
      </c>
      <c r="F118">
        <v>1200</v>
      </c>
      <c r="G118" t="str">
        <f>VLOOKUP(C118, Sheet2!$A$2:$D$9, 2, FALSE)</f>
        <v>Sneakers</v>
      </c>
      <c r="H118" t="str">
        <f>VLOOKUP(C118, Sheet2!$A$2:$D$9, 3, FALSE)</f>
        <v>Footwear</v>
      </c>
      <c r="I118" t="str">
        <f>VLOOKUP(A125, Sheet3!$A$2:$D$201, 3, FALSE)</f>
        <v>Pune</v>
      </c>
      <c r="J118" t="str">
        <f>VLOOKUP(A118, Sheet3!$A$2:$D$201, 4, FALSE)</f>
        <v>North</v>
      </c>
      <c r="K118" t="str">
        <f>VLOOKUP(A118, Sheet3!$A$2:$D$201, 2, FALSE)</f>
        <v>FM_Del</v>
      </c>
      <c r="L118" s="4">
        <f t="shared" si="1"/>
        <v>0.2</v>
      </c>
    </row>
    <row r="119" spans="1:12">
      <c r="A119">
        <v>118</v>
      </c>
      <c r="B119" s="1">
        <v>46235</v>
      </c>
      <c r="C119">
        <v>108</v>
      </c>
      <c r="D119">
        <v>4</v>
      </c>
      <c r="E119">
        <v>7000</v>
      </c>
      <c r="F119">
        <v>1400</v>
      </c>
      <c r="G119" t="str">
        <f>VLOOKUP(C119, Sheet2!$A$2:$D$9, 2, FALSE)</f>
        <v>Hoodie</v>
      </c>
      <c r="H119" t="str">
        <f>VLOOKUP(C119, Sheet2!$A$2:$D$9, 3, FALSE)</f>
        <v>Clothing</v>
      </c>
      <c r="I119" t="str">
        <f>VLOOKUP(A126, Sheet3!$A$2:$D$201, 3, FALSE)</f>
        <v>Delhi</v>
      </c>
      <c r="J119" t="str">
        <f>VLOOKUP(A119, Sheet3!$A$2:$D$201, 4, FALSE)</f>
        <v>North</v>
      </c>
      <c r="K119" t="str">
        <f>VLOOKUP(A119, Sheet3!$A$2:$D$201, 2, FALSE)</f>
        <v>FM_Jaipur</v>
      </c>
      <c r="L119" s="4">
        <f t="shared" si="1"/>
        <v>0.2</v>
      </c>
    </row>
    <row r="120" spans="1:12">
      <c r="A120">
        <v>119</v>
      </c>
      <c r="B120" s="1">
        <v>46266</v>
      </c>
      <c r="C120">
        <v>101</v>
      </c>
      <c r="D120">
        <v>6</v>
      </c>
      <c r="E120">
        <v>6000</v>
      </c>
      <c r="F120">
        <v>1200</v>
      </c>
      <c r="G120" t="str">
        <f>VLOOKUP(C120, Sheet2!$A$2:$D$9, 2, FALSE)</f>
        <v>T-Shirt</v>
      </c>
      <c r="H120" t="str">
        <f>VLOOKUP(C120, Sheet2!$A$2:$D$9, 3, FALSE)</f>
        <v>Clothing</v>
      </c>
      <c r="I120" t="str">
        <f>VLOOKUP(A127, Sheet3!$A$2:$D$201, 3, FALSE)</f>
        <v>Jaipur</v>
      </c>
      <c r="J120" t="str">
        <f>VLOOKUP(A120, Sheet3!$A$2:$D$201, 4, FALSE)</f>
        <v>East</v>
      </c>
      <c r="K120" t="str">
        <f>VLOOKUP(A120, Sheet3!$A$2:$D$201, 2, FALSE)</f>
        <v>FM_Kol</v>
      </c>
      <c r="L120" s="4">
        <f t="shared" si="1"/>
        <v>0.2</v>
      </c>
    </row>
    <row r="121" spans="1:12">
      <c r="A121">
        <v>120</v>
      </c>
      <c r="B121" s="1">
        <v>46296</v>
      </c>
      <c r="C121">
        <v>102</v>
      </c>
      <c r="D121">
        <v>4</v>
      </c>
      <c r="E121">
        <v>8000</v>
      </c>
      <c r="F121">
        <v>1600</v>
      </c>
      <c r="G121" t="str">
        <f>VLOOKUP(C121, Sheet2!$A$2:$D$9, 2, FALSE)</f>
        <v>Jeans</v>
      </c>
      <c r="H121" t="str">
        <f>VLOOKUP(C121, Sheet2!$A$2:$D$9, 3, FALSE)</f>
        <v>Clothing</v>
      </c>
      <c r="I121" t="str">
        <f>VLOOKUP(A128, Sheet3!$A$2:$D$201, 3, FALSE)</f>
        <v>Kolkata</v>
      </c>
      <c r="J121" t="str">
        <f>VLOOKUP(A121, Sheet3!$A$2:$D$201, 4, FALSE)</f>
        <v>South</v>
      </c>
      <c r="K121" t="str">
        <f>VLOOKUP(A121, Sheet3!$A$2:$D$201, 2, FALSE)</f>
        <v>FM_Chennai</v>
      </c>
      <c r="L121" s="4">
        <f t="shared" si="1"/>
        <v>0.2</v>
      </c>
    </row>
    <row r="122" spans="1:12">
      <c r="A122">
        <v>121</v>
      </c>
      <c r="B122" s="1">
        <v>46023</v>
      </c>
      <c r="C122">
        <v>101</v>
      </c>
      <c r="D122">
        <v>5</v>
      </c>
      <c r="E122">
        <v>5000</v>
      </c>
      <c r="F122">
        <v>1000</v>
      </c>
      <c r="G122" t="str">
        <f>VLOOKUP(C122, Sheet2!$A$2:$D$9, 2, FALSE)</f>
        <v>T-Shirt</v>
      </c>
      <c r="H122" t="str">
        <f>VLOOKUP(C122, Sheet2!$A$2:$D$9, 3, FALSE)</f>
        <v>Clothing</v>
      </c>
      <c r="I122" t="str">
        <f>VLOOKUP(A129, Sheet3!$A$2:$D$201, 3, FALSE)</f>
        <v>Chennai</v>
      </c>
      <c r="J122" t="str">
        <f>VLOOKUP(A122, Sheet3!$A$2:$D$201, 4, FALSE)</f>
        <v>South</v>
      </c>
      <c r="K122" t="str">
        <f>VLOOKUP(A122, Sheet3!$A$2:$D$201, 2, FALSE)</f>
        <v>FM_Hyd</v>
      </c>
      <c r="L122" s="4">
        <f t="shared" si="1"/>
        <v>0.2</v>
      </c>
    </row>
    <row r="123" spans="1:12">
      <c r="A123">
        <v>122</v>
      </c>
      <c r="B123" s="1">
        <v>46054</v>
      </c>
      <c r="C123">
        <v>102</v>
      </c>
      <c r="D123">
        <v>3</v>
      </c>
      <c r="E123">
        <v>6000</v>
      </c>
      <c r="F123">
        <v>1200</v>
      </c>
      <c r="G123" t="str">
        <f>VLOOKUP(C123, Sheet2!$A$2:$D$9, 2, FALSE)</f>
        <v>Jeans</v>
      </c>
      <c r="H123" t="str">
        <f>VLOOKUP(C123, Sheet2!$A$2:$D$9, 3, FALSE)</f>
        <v>Clothing</v>
      </c>
      <c r="I123" t="str">
        <f>VLOOKUP(A130, Sheet3!$A$2:$D$201, 3, FALSE)</f>
        <v>Hyderabad</v>
      </c>
      <c r="J123" t="str">
        <f>VLOOKUP(A123, Sheet3!$A$2:$D$201, 4, FALSE)</f>
        <v>South</v>
      </c>
      <c r="K123" t="str">
        <f>VLOOKUP(A123, Sheet3!$A$2:$D$201, 2, FALSE)</f>
        <v>FM_Blr</v>
      </c>
      <c r="L123" s="4">
        <f t="shared" si="1"/>
        <v>0.2</v>
      </c>
    </row>
    <row r="124" spans="1:12">
      <c r="A124">
        <v>123</v>
      </c>
      <c r="B124" s="1">
        <v>46082</v>
      </c>
      <c r="C124">
        <v>103</v>
      </c>
      <c r="D124">
        <v>4</v>
      </c>
      <c r="E124">
        <v>8000</v>
      </c>
      <c r="F124">
        <v>1600</v>
      </c>
      <c r="G124" t="str">
        <f>VLOOKUP(C124, Sheet2!$A$2:$D$9, 2, FALSE)</f>
        <v>Shoes</v>
      </c>
      <c r="H124" t="str">
        <f>VLOOKUP(C124, Sheet2!$A$2:$D$9, 3, FALSE)</f>
        <v>Footwear</v>
      </c>
      <c r="I124" t="str">
        <f>VLOOKUP(A131, Sheet3!$A$2:$D$201, 3, FALSE)</f>
        <v>Bangalore</v>
      </c>
      <c r="J124" t="str">
        <f>VLOOKUP(A124, Sheet3!$A$2:$D$201, 4, FALSE)</f>
        <v>West</v>
      </c>
      <c r="K124" t="str">
        <f>VLOOKUP(A124, Sheet3!$A$2:$D$201, 2, FALSE)</f>
        <v>FM_Mum</v>
      </c>
      <c r="L124" s="4">
        <f t="shared" si="1"/>
        <v>0.2</v>
      </c>
    </row>
    <row r="125" spans="1:12">
      <c r="A125">
        <v>124</v>
      </c>
      <c r="B125" s="1">
        <v>46113</v>
      </c>
      <c r="C125">
        <v>104</v>
      </c>
      <c r="D125">
        <v>2</v>
      </c>
      <c r="E125">
        <v>4000</v>
      </c>
      <c r="F125">
        <v>800</v>
      </c>
      <c r="G125" t="str">
        <f>VLOOKUP(C125, Sheet2!$A$2:$D$9, 2, FALSE)</f>
        <v>Jacket</v>
      </c>
      <c r="H125" t="str">
        <f>VLOOKUP(C125, Sheet2!$A$2:$D$9, 3, FALSE)</f>
        <v>Clothing</v>
      </c>
      <c r="I125" t="str">
        <f>VLOOKUP(A132, Sheet3!$A$2:$D$201, 3, FALSE)</f>
        <v>Mumbai</v>
      </c>
      <c r="J125" t="str">
        <f>VLOOKUP(A125, Sheet3!$A$2:$D$201, 4, FALSE)</f>
        <v>West</v>
      </c>
      <c r="K125" t="str">
        <f>VLOOKUP(A125, Sheet3!$A$2:$D$201, 2, FALSE)</f>
        <v>FM_Pune</v>
      </c>
      <c r="L125" s="4">
        <f t="shared" si="1"/>
        <v>0.2</v>
      </c>
    </row>
    <row r="126" spans="1:12">
      <c r="A126">
        <v>125</v>
      </c>
      <c r="B126" s="1">
        <v>46143</v>
      </c>
      <c r="C126">
        <v>105</v>
      </c>
      <c r="D126">
        <v>6</v>
      </c>
      <c r="E126">
        <v>9000</v>
      </c>
      <c r="F126">
        <v>1800</v>
      </c>
      <c r="G126" t="str">
        <f>VLOOKUP(C126, Sheet2!$A$2:$D$9, 2, FALSE)</f>
        <v>Sandals</v>
      </c>
      <c r="H126" t="str">
        <f>VLOOKUP(C126, Sheet2!$A$2:$D$9, 3, FALSE)</f>
        <v>Footwear</v>
      </c>
      <c r="I126" t="str">
        <f>VLOOKUP(A133, Sheet3!$A$2:$D$201, 3, FALSE)</f>
        <v>Pune</v>
      </c>
      <c r="J126" t="str">
        <f>VLOOKUP(A126, Sheet3!$A$2:$D$201, 4, FALSE)</f>
        <v>North</v>
      </c>
      <c r="K126" t="str">
        <f>VLOOKUP(A126, Sheet3!$A$2:$D$201, 2, FALSE)</f>
        <v>FM_Del</v>
      </c>
      <c r="L126" s="4">
        <f t="shared" si="1"/>
        <v>0.2</v>
      </c>
    </row>
    <row r="127" spans="1:12">
      <c r="A127">
        <v>126</v>
      </c>
      <c r="B127" s="1">
        <v>46174</v>
      </c>
      <c r="C127">
        <v>106</v>
      </c>
      <c r="D127">
        <v>5</v>
      </c>
      <c r="E127">
        <v>7500</v>
      </c>
      <c r="F127">
        <v>1500</v>
      </c>
      <c r="G127" t="str">
        <f>VLOOKUP(C127, Sheet2!$A$2:$D$9, 2, FALSE)</f>
        <v>Shirt</v>
      </c>
      <c r="H127" t="str">
        <f>VLOOKUP(C127, Sheet2!$A$2:$D$9, 3, FALSE)</f>
        <v>Clothing</v>
      </c>
      <c r="I127" t="str">
        <f>VLOOKUP(A134, Sheet3!$A$2:$D$201, 3, FALSE)</f>
        <v>Delhi</v>
      </c>
      <c r="J127" t="str">
        <f>VLOOKUP(A127, Sheet3!$A$2:$D$201, 4, FALSE)</f>
        <v>North</v>
      </c>
      <c r="K127" t="str">
        <f>VLOOKUP(A127, Sheet3!$A$2:$D$201, 2, FALSE)</f>
        <v>FM_Jaipur</v>
      </c>
      <c r="L127" s="4">
        <f t="shared" si="1"/>
        <v>0.2</v>
      </c>
    </row>
    <row r="128" spans="1:12">
      <c r="A128">
        <v>127</v>
      </c>
      <c r="B128" s="1">
        <v>46204</v>
      </c>
      <c r="C128">
        <v>107</v>
      </c>
      <c r="D128">
        <v>3</v>
      </c>
      <c r="E128">
        <v>6000</v>
      </c>
      <c r="F128">
        <v>1200</v>
      </c>
      <c r="G128" t="str">
        <f>VLOOKUP(C128, Sheet2!$A$2:$D$9, 2, FALSE)</f>
        <v>Sneakers</v>
      </c>
      <c r="H128" t="str">
        <f>VLOOKUP(C128, Sheet2!$A$2:$D$9, 3, FALSE)</f>
        <v>Footwear</v>
      </c>
      <c r="I128" t="str">
        <f>VLOOKUP(A135, Sheet3!$A$2:$D$201, 3, FALSE)</f>
        <v>Jaipur</v>
      </c>
      <c r="J128" t="str">
        <f>VLOOKUP(A128, Sheet3!$A$2:$D$201, 4, FALSE)</f>
        <v>East</v>
      </c>
      <c r="K128" t="str">
        <f>VLOOKUP(A128, Sheet3!$A$2:$D$201, 2, FALSE)</f>
        <v>FM_Kol</v>
      </c>
      <c r="L128" s="4">
        <f t="shared" si="1"/>
        <v>0.2</v>
      </c>
    </row>
    <row r="129" spans="1:12">
      <c r="A129">
        <v>128</v>
      </c>
      <c r="B129" s="1">
        <v>46235</v>
      </c>
      <c r="C129">
        <v>108</v>
      </c>
      <c r="D129">
        <v>4</v>
      </c>
      <c r="E129">
        <v>7000</v>
      </c>
      <c r="F129">
        <v>1400</v>
      </c>
      <c r="G129" t="str">
        <f>VLOOKUP(C129, Sheet2!$A$2:$D$9, 2, FALSE)</f>
        <v>Hoodie</v>
      </c>
      <c r="H129" t="str">
        <f>VLOOKUP(C129, Sheet2!$A$2:$D$9, 3, FALSE)</f>
        <v>Clothing</v>
      </c>
      <c r="I129" t="str">
        <f>VLOOKUP(A136, Sheet3!$A$2:$D$201, 3, FALSE)</f>
        <v>Kolkata</v>
      </c>
      <c r="J129" t="str">
        <f>VLOOKUP(A129, Sheet3!$A$2:$D$201, 4, FALSE)</f>
        <v>South</v>
      </c>
      <c r="K129" t="str">
        <f>VLOOKUP(A129, Sheet3!$A$2:$D$201, 2, FALSE)</f>
        <v>FM_Chennai</v>
      </c>
      <c r="L129" s="4">
        <f t="shared" si="1"/>
        <v>0.2</v>
      </c>
    </row>
    <row r="130" spans="1:12">
      <c r="A130">
        <v>129</v>
      </c>
      <c r="B130" s="1">
        <v>46266</v>
      </c>
      <c r="C130">
        <v>101</v>
      </c>
      <c r="D130">
        <v>6</v>
      </c>
      <c r="E130">
        <v>6000</v>
      </c>
      <c r="F130">
        <v>1200</v>
      </c>
      <c r="G130" t="str">
        <f>VLOOKUP(C130, Sheet2!$A$2:$D$9, 2, FALSE)</f>
        <v>T-Shirt</v>
      </c>
      <c r="H130" t="str">
        <f>VLOOKUP(C130, Sheet2!$A$2:$D$9, 3, FALSE)</f>
        <v>Clothing</v>
      </c>
      <c r="I130" t="str">
        <f>VLOOKUP(A137, Sheet3!$A$2:$D$201, 3, FALSE)</f>
        <v>Chennai</v>
      </c>
      <c r="J130" t="str">
        <f>VLOOKUP(A130, Sheet3!$A$2:$D$201, 4, FALSE)</f>
        <v>South</v>
      </c>
      <c r="K130" t="str">
        <f>VLOOKUP(A130, Sheet3!$A$2:$D$201, 2, FALSE)</f>
        <v>FM_Hyd</v>
      </c>
      <c r="L130" s="4">
        <f t="shared" si="1"/>
        <v>0.2</v>
      </c>
    </row>
    <row r="131" spans="1:12">
      <c r="A131">
        <v>130</v>
      </c>
      <c r="B131" s="1">
        <v>46296</v>
      </c>
      <c r="C131">
        <v>102</v>
      </c>
      <c r="D131">
        <v>4</v>
      </c>
      <c r="E131">
        <v>8000</v>
      </c>
      <c r="F131">
        <v>1600</v>
      </c>
      <c r="G131" t="str">
        <f>VLOOKUP(C131, Sheet2!$A$2:$D$9, 2, FALSE)</f>
        <v>Jeans</v>
      </c>
      <c r="H131" t="str">
        <f>VLOOKUP(C131, Sheet2!$A$2:$D$9, 3, FALSE)</f>
        <v>Clothing</v>
      </c>
      <c r="I131" t="str">
        <f>VLOOKUP(A138, Sheet3!$A$2:$D$201, 3, FALSE)</f>
        <v>Hyderabad</v>
      </c>
      <c r="J131" t="str">
        <f>VLOOKUP(A131, Sheet3!$A$2:$D$201, 4, FALSE)</f>
        <v>South</v>
      </c>
      <c r="K131" t="str">
        <f>VLOOKUP(A131, Sheet3!$A$2:$D$201, 2, FALSE)</f>
        <v>FM_Blr</v>
      </c>
      <c r="L131" s="4">
        <f t="shared" ref="L131:L194" si="2">F131/E131</f>
        <v>0.2</v>
      </c>
    </row>
    <row r="132" spans="1:12">
      <c r="A132">
        <v>131</v>
      </c>
      <c r="B132" s="1">
        <v>46023</v>
      </c>
      <c r="C132">
        <v>101</v>
      </c>
      <c r="D132">
        <v>5</v>
      </c>
      <c r="E132">
        <v>5000</v>
      </c>
      <c r="F132">
        <v>1000</v>
      </c>
      <c r="G132" t="str">
        <f>VLOOKUP(C132, Sheet2!$A$2:$D$9, 2, FALSE)</f>
        <v>T-Shirt</v>
      </c>
      <c r="H132" t="str">
        <f>VLOOKUP(C132, Sheet2!$A$2:$D$9, 3, FALSE)</f>
        <v>Clothing</v>
      </c>
      <c r="I132" t="str">
        <f>VLOOKUP(A139, Sheet3!$A$2:$D$201, 3, FALSE)</f>
        <v>Bangalore</v>
      </c>
      <c r="J132" t="str">
        <f>VLOOKUP(A132, Sheet3!$A$2:$D$201, 4, FALSE)</f>
        <v>West</v>
      </c>
      <c r="K132" t="str">
        <f>VLOOKUP(A132, Sheet3!$A$2:$D$201, 2, FALSE)</f>
        <v>FM_Mum</v>
      </c>
      <c r="L132" s="4">
        <f t="shared" si="2"/>
        <v>0.2</v>
      </c>
    </row>
    <row r="133" spans="1:12">
      <c r="A133">
        <v>132</v>
      </c>
      <c r="B133" s="1">
        <v>46054</v>
      </c>
      <c r="C133">
        <v>102</v>
      </c>
      <c r="D133">
        <v>3</v>
      </c>
      <c r="E133">
        <v>6000</v>
      </c>
      <c r="F133">
        <v>1200</v>
      </c>
      <c r="G133" t="str">
        <f>VLOOKUP(C133, Sheet2!$A$2:$D$9, 2, FALSE)</f>
        <v>Jeans</v>
      </c>
      <c r="H133" t="str">
        <f>VLOOKUP(C133, Sheet2!$A$2:$D$9, 3, FALSE)</f>
        <v>Clothing</v>
      </c>
      <c r="I133" t="str">
        <f>VLOOKUP(A140, Sheet3!$A$2:$D$201, 3, FALSE)</f>
        <v>Mumbai</v>
      </c>
      <c r="J133" t="str">
        <f>VLOOKUP(A133, Sheet3!$A$2:$D$201, 4, FALSE)</f>
        <v>West</v>
      </c>
      <c r="K133" t="str">
        <f>VLOOKUP(A133, Sheet3!$A$2:$D$201, 2, FALSE)</f>
        <v>FM_Pune</v>
      </c>
      <c r="L133" s="4">
        <f t="shared" si="2"/>
        <v>0.2</v>
      </c>
    </row>
    <row r="134" spans="1:12">
      <c r="A134">
        <v>133</v>
      </c>
      <c r="B134" s="1">
        <v>46082</v>
      </c>
      <c r="C134">
        <v>103</v>
      </c>
      <c r="D134">
        <v>4</v>
      </c>
      <c r="E134">
        <v>8000</v>
      </c>
      <c r="F134">
        <v>1600</v>
      </c>
      <c r="G134" t="str">
        <f>VLOOKUP(C134, Sheet2!$A$2:$D$9, 2, FALSE)</f>
        <v>Shoes</v>
      </c>
      <c r="H134" t="str">
        <f>VLOOKUP(C134, Sheet2!$A$2:$D$9, 3, FALSE)</f>
        <v>Footwear</v>
      </c>
      <c r="I134" t="str">
        <f>VLOOKUP(A141, Sheet3!$A$2:$D$201, 3, FALSE)</f>
        <v>Pune</v>
      </c>
      <c r="J134" t="str">
        <f>VLOOKUP(A134, Sheet3!$A$2:$D$201, 4, FALSE)</f>
        <v>North</v>
      </c>
      <c r="K134" t="str">
        <f>VLOOKUP(A134, Sheet3!$A$2:$D$201, 2, FALSE)</f>
        <v>FM_Del</v>
      </c>
      <c r="L134" s="4">
        <f t="shared" si="2"/>
        <v>0.2</v>
      </c>
    </row>
    <row r="135" spans="1:12">
      <c r="A135">
        <v>134</v>
      </c>
      <c r="B135" s="1">
        <v>46113</v>
      </c>
      <c r="C135">
        <v>104</v>
      </c>
      <c r="D135">
        <v>2</v>
      </c>
      <c r="E135">
        <v>4000</v>
      </c>
      <c r="F135">
        <v>800</v>
      </c>
      <c r="G135" t="str">
        <f>VLOOKUP(C135, Sheet2!$A$2:$D$9, 2, FALSE)</f>
        <v>Jacket</v>
      </c>
      <c r="H135" t="str">
        <f>VLOOKUP(C135, Sheet2!$A$2:$D$9, 3, FALSE)</f>
        <v>Clothing</v>
      </c>
      <c r="I135" t="str">
        <f>VLOOKUP(A142, Sheet3!$A$2:$D$201, 3, FALSE)</f>
        <v>Delhi</v>
      </c>
      <c r="J135" t="str">
        <f>VLOOKUP(A135, Sheet3!$A$2:$D$201, 4, FALSE)</f>
        <v>North</v>
      </c>
      <c r="K135" t="str">
        <f>VLOOKUP(A135, Sheet3!$A$2:$D$201, 2, FALSE)</f>
        <v>FM_Jaipur</v>
      </c>
      <c r="L135" s="4">
        <f t="shared" si="2"/>
        <v>0.2</v>
      </c>
    </row>
    <row r="136" spans="1:12">
      <c r="A136">
        <v>135</v>
      </c>
      <c r="B136" s="1">
        <v>46143</v>
      </c>
      <c r="C136">
        <v>105</v>
      </c>
      <c r="D136">
        <v>6</v>
      </c>
      <c r="E136">
        <v>9000</v>
      </c>
      <c r="F136">
        <v>1800</v>
      </c>
      <c r="G136" t="str">
        <f>VLOOKUP(C136, Sheet2!$A$2:$D$9, 2, FALSE)</f>
        <v>Sandals</v>
      </c>
      <c r="H136" t="str">
        <f>VLOOKUP(C136, Sheet2!$A$2:$D$9, 3, FALSE)</f>
        <v>Footwear</v>
      </c>
      <c r="I136" t="str">
        <f>VLOOKUP(A143, Sheet3!$A$2:$D$201, 3, FALSE)</f>
        <v>Jaipur</v>
      </c>
      <c r="J136" t="str">
        <f>VLOOKUP(A136, Sheet3!$A$2:$D$201, 4, FALSE)</f>
        <v>East</v>
      </c>
      <c r="K136" t="str">
        <f>VLOOKUP(A136, Sheet3!$A$2:$D$201, 2, FALSE)</f>
        <v>FM_Kol</v>
      </c>
      <c r="L136" s="4">
        <f t="shared" si="2"/>
        <v>0.2</v>
      </c>
    </row>
    <row r="137" spans="1:12">
      <c r="A137">
        <v>136</v>
      </c>
      <c r="B137" s="1">
        <v>46174</v>
      </c>
      <c r="C137">
        <v>106</v>
      </c>
      <c r="D137">
        <v>5</v>
      </c>
      <c r="E137">
        <v>7500</v>
      </c>
      <c r="F137">
        <v>1500</v>
      </c>
      <c r="G137" t="str">
        <f>VLOOKUP(C137, Sheet2!$A$2:$D$9, 2, FALSE)</f>
        <v>Shirt</v>
      </c>
      <c r="H137" t="str">
        <f>VLOOKUP(C137, Sheet2!$A$2:$D$9, 3, FALSE)</f>
        <v>Clothing</v>
      </c>
      <c r="I137" t="str">
        <f>VLOOKUP(A144, Sheet3!$A$2:$D$201, 3, FALSE)</f>
        <v>Kolkata</v>
      </c>
      <c r="J137" t="str">
        <f>VLOOKUP(A137, Sheet3!$A$2:$D$201, 4, FALSE)</f>
        <v>South</v>
      </c>
      <c r="K137" t="str">
        <f>VLOOKUP(A137, Sheet3!$A$2:$D$201, 2, FALSE)</f>
        <v>FM_Chennai</v>
      </c>
      <c r="L137" s="4">
        <f t="shared" si="2"/>
        <v>0.2</v>
      </c>
    </row>
    <row r="138" spans="1:12">
      <c r="A138">
        <v>137</v>
      </c>
      <c r="B138" s="1">
        <v>46204</v>
      </c>
      <c r="C138">
        <v>107</v>
      </c>
      <c r="D138">
        <v>3</v>
      </c>
      <c r="E138">
        <v>6000</v>
      </c>
      <c r="F138">
        <v>1200</v>
      </c>
      <c r="G138" t="str">
        <f>VLOOKUP(C138, Sheet2!$A$2:$D$9, 2, FALSE)</f>
        <v>Sneakers</v>
      </c>
      <c r="H138" t="str">
        <f>VLOOKUP(C138, Sheet2!$A$2:$D$9, 3, FALSE)</f>
        <v>Footwear</v>
      </c>
      <c r="I138" t="str">
        <f>VLOOKUP(A145, Sheet3!$A$2:$D$201, 3, FALSE)</f>
        <v>Chennai</v>
      </c>
      <c r="J138" t="str">
        <f>VLOOKUP(A138, Sheet3!$A$2:$D$201, 4, FALSE)</f>
        <v>South</v>
      </c>
      <c r="K138" t="str">
        <f>VLOOKUP(A138, Sheet3!$A$2:$D$201, 2, FALSE)</f>
        <v>FM_Hyd</v>
      </c>
      <c r="L138" s="4">
        <f t="shared" si="2"/>
        <v>0.2</v>
      </c>
    </row>
    <row r="139" spans="1:12">
      <c r="A139">
        <v>138</v>
      </c>
      <c r="B139" s="1">
        <v>46235</v>
      </c>
      <c r="C139">
        <v>108</v>
      </c>
      <c r="D139">
        <v>4</v>
      </c>
      <c r="E139">
        <v>7000</v>
      </c>
      <c r="F139">
        <v>1400</v>
      </c>
      <c r="G139" t="str">
        <f>VLOOKUP(C139, Sheet2!$A$2:$D$9, 2, FALSE)</f>
        <v>Hoodie</v>
      </c>
      <c r="H139" t="str">
        <f>VLOOKUP(C139, Sheet2!$A$2:$D$9, 3, FALSE)</f>
        <v>Clothing</v>
      </c>
      <c r="I139" t="str">
        <f>VLOOKUP(A146, Sheet3!$A$2:$D$201, 3, FALSE)</f>
        <v>Hyderabad</v>
      </c>
      <c r="J139" t="str">
        <f>VLOOKUP(A139, Sheet3!$A$2:$D$201, 4, FALSE)</f>
        <v>South</v>
      </c>
      <c r="K139" t="str">
        <f>VLOOKUP(A139, Sheet3!$A$2:$D$201, 2, FALSE)</f>
        <v>FM_Blr</v>
      </c>
      <c r="L139" s="4">
        <f t="shared" si="2"/>
        <v>0.2</v>
      </c>
    </row>
    <row r="140" spans="1:12">
      <c r="A140">
        <v>139</v>
      </c>
      <c r="B140" s="1">
        <v>46266</v>
      </c>
      <c r="C140">
        <v>101</v>
      </c>
      <c r="D140">
        <v>6</v>
      </c>
      <c r="E140">
        <v>6000</v>
      </c>
      <c r="F140">
        <v>1200</v>
      </c>
      <c r="G140" t="str">
        <f>VLOOKUP(C140, Sheet2!$A$2:$D$9, 2, FALSE)</f>
        <v>T-Shirt</v>
      </c>
      <c r="H140" t="str">
        <f>VLOOKUP(C140, Sheet2!$A$2:$D$9, 3, FALSE)</f>
        <v>Clothing</v>
      </c>
      <c r="I140" t="str">
        <f>VLOOKUP(A147, Sheet3!$A$2:$D$201, 3, FALSE)</f>
        <v>Bangalore</v>
      </c>
      <c r="J140" t="str">
        <f>VLOOKUP(A140, Sheet3!$A$2:$D$201, 4, FALSE)</f>
        <v>West</v>
      </c>
      <c r="K140" t="str">
        <f>VLOOKUP(A140, Sheet3!$A$2:$D$201, 2, FALSE)</f>
        <v>FM_Mum</v>
      </c>
      <c r="L140" s="4">
        <f t="shared" si="2"/>
        <v>0.2</v>
      </c>
    </row>
    <row r="141" spans="1:12">
      <c r="A141">
        <v>140</v>
      </c>
      <c r="B141" s="1">
        <v>46296</v>
      </c>
      <c r="C141">
        <v>102</v>
      </c>
      <c r="D141">
        <v>4</v>
      </c>
      <c r="E141">
        <v>8000</v>
      </c>
      <c r="F141">
        <v>1600</v>
      </c>
      <c r="G141" t="str">
        <f>VLOOKUP(C141, Sheet2!$A$2:$D$9, 2, FALSE)</f>
        <v>Jeans</v>
      </c>
      <c r="H141" t="str">
        <f>VLOOKUP(C141, Sheet2!$A$2:$D$9, 3, FALSE)</f>
        <v>Clothing</v>
      </c>
      <c r="I141" t="str">
        <f>VLOOKUP(A148, Sheet3!$A$2:$D$201, 3, FALSE)</f>
        <v>Mumbai</v>
      </c>
      <c r="J141" t="str">
        <f>VLOOKUP(A141, Sheet3!$A$2:$D$201, 4, FALSE)</f>
        <v>West</v>
      </c>
      <c r="K141" t="str">
        <f>VLOOKUP(A141, Sheet3!$A$2:$D$201, 2, FALSE)</f>
        <v>FM_Pune</v>
      </c>
      <c r="L141" s="4">
        <f t="shared" si="2"/>
        <v>0.2</v>
      </c>
    </row>
    <row r="142" spans="1:12">
      <c r="A142">
        <v>141</v>
      </c>
      <c r="B142" s="1">
        <v>46023</v>
      </c>
      <c r="C142">
        <v>101</v>
      </c>
      <c r="D142">
        <v>5</v>
      </c>
      <c r="E142">
        <v>5000</v>
      </c>
      <c r="F142">
        <v>1000</v>
      </c>
      <c r="G142" t="str">
        <f>VLOOKUP(C142, Sheet2!$A$2:$D$9, 2, FALSE)</f>
        <v>T-Shirt</v>
      </c>
      <c r="H142" t="str">
        <f>VLOOKUP(C142, Sheet2!$A$2:$D$9, 3, FALSE)</f>
        <v>Clothing</v>
      </c>
      <c r="I142" t="str">
        <f>VLOOKUP(A149, Sheet3!$A$2:$D$201, 3, FALSE)</f>
        <v>Pune</v>
      </c>
      <c r="J142" t="str">
        <f>VLOOKUP(A142, Sheet3!$A$2:$D$201, 4, FALSE)</f>
        <v>North</v>
      </c>
      <c r="K142" t="str">
        <f>VLOOKUP(A142, Sheet3!$A$2:$D$201, 2, FALSE)</f>
        <v>FM_Del</v>
      </c>
      <c r="L142" s="4">
        <f t="shared" si="2"/>
        <v>0.2</v>
      </c>
    </row>
    <row r="143" spans="1:12">
      <c r="A143">
        <v>142</v>
      </c>
      <c r="B143" s="1">
        <v>46054</v>
      </c>
      <c r="C143">
        <v>102</v>
      </c>
      <c r="D143">
        <v>3</v>
      </c>
      <c r="E143">
        <v>6000</v>
      </c>
      <c r="F143">
        <v>1200</v>
      </c>
      <c r="G143" t="str">
        <f>VLOOKUP(C143, Sheet2!$A$2:$D$9, 2, FALSE)</f>
        <v>Jeans</v>
      </c>
      <c r="H143" t="str">
        <f>VLOOKUP(C143, Sheet2!$A$2:$D$9, 3, FALSE)</f>
        <v>Clothing</v>
      </c>
      <c r="I143" t="str">
        <f>VLOOKUP(A150, Sheet3!$A$2:$D$201, 3, FALSE)</f>
        <v>Delhi</v>
      </c>
      <c r="J143" t="str">
        <f>VLOOKUP(A143, Sheet3!$A$2:$D$201, 4, FALSE)</f>
        <v>North</v>
      </c>
      <c r="K143" t="str">
        <f>VLOOKUP(A143, Sheet3!$A$2:$D$201, 2, FALSE)</f>
        <v>FM_Jaipur</v>
      </c>
      <c r="L143" s="4">
        <f t="shared" si="2"/>
        <v>0.2</v>
      </c>
    </row>
    <row r="144" spans="1:12">
      <c r="A144">
        <v>143</v>
      </c>
      <c r="B144" s="1">
        <v>46082</v>
      </c>
      <c r="C144">
        <v>103</v>
      </c>
      <c r="D144">
        <v>4</v>
      </c>
      <c r="E144">
        <v>8000</v>
      </c>
      <c r="F144">
        <v>1600</v>
      </c>
      <c r="G144" t="str">
        <f>VLOOKUP(C144, Sheet2!$A$2:$D$9, 2, FALSE)</f>
        <v>Shoes</v>
      </c>
      <c r="H144" t="str">
        <f>VLOOKUP(C144, Sheet2!$A$2:$D$9, 3, FALSE)</f>
        <v>Footwear</v>
      </c>
      <c r="I144" t="str">
        <f>VLOOKUP(A151, Sheet3!$A$2:$D$201, 3, FALSE)</f>
        <v>Jaipur</v>
      </c>
      <c r="J144" t="str">
        <f>VLOOKUP(A144, Sheet3!$A$2:$D$201, 4, FALSE)</f>
        <v>East</v>
      </c>
      <c r="K144" t="str">
        <f>VLOOKUP(A144, Sheet3!$A$2:$D$201, 2, FALSE)</f>
        <v>FM_Kol</v>
      </c>
      <c r="L144" s="4">
        <f t="shared" si="2"/>
        <v>0.2</v>
      </c>
    </row>
    <row r="145" spans="1:12">
      <c r="A145">
        <v>144</v>
      </c>
      <c r="B145" s="1">
        <v>46113</v>
      </c>
      <c r="C145">
        <v>104</v>
      </c>
      <c r="D145">
        <v>2</v>
      </c>
      <c r="E145">
        <v>4000</v>
      </c>
      <c r="F145">
        <v>800</v>
      </c>
      <c r="G145" t="str">
        <f>VLOOKUP(C145, Sheet2!$A$2:$D$9, 2, FALSE)</f>
        <v>Jacket</v>
      </c>
      <c r="H145" t="str">
        <f>VLOOKUP(C145, Sheet2!$A$2:$D$9, 3, FALSE)</f>
        <v>Clothing</v>
      </c>
      <c r="I145" t="str">
        <f>VLOOKUP(A152, Sheet3!$A$2:$D$201, 3, FALSE)</f>
        <v>Kolkata</v>
      </c>
      <c r="J145" t="str">
        <f>VLOOKUP(A145, Sheet3!$A$2:$D$201, 4, FALSE)</f>
        <v>South</v>
      </c>
      <c r="K145" t="str">
        <f>VLOOKUP(A145, Sheet3!$A$2:$D$201, 2, FALSE)</f>
        <v>FM_Chennai</v>
      </c>
      <c r="L145" s="4">
        <f t="shared" si="2"/>
        <v>0.2</v>
      </c>
    </row>
    <row r="146" spans="1:12">
      <c r="A146">
        <v>145</v>
      </c>
      <c r="B146" s="1">
        <v>46143</v>
      </c>
      <c r="C146">
        <v>105</v>
      </c>
      <c r="D146">
        <v>6</v>
      </c>
      <c r="E146">
        <v>9000</v>
      </c>
      <c r="F146">
        <v>1800</v>
      </c>
      <c r="G146" t="str">
        <f>VLOOKUP(C146, Sheet2!$A$2:$D$9, 2, FALSE)</f>
        <v>Sandals</v>
      </c>
      <c r="H146" t="str">
        <f>VLOOKUP(C146, Sheet2!$A$2:$D$9, 3, FALSE)</f>
        <v>Footwear</v>
      </c>
      <c r="I146" t="str">
        <f>VLOOKUP(A153, Sheet3!$A$2:$D$201, 3, FALSE)</f>
        <v>Chennai</v>
      </c>
      <c r="J146" t="str">
        <f>VLOOKUP(A146, Sheet3!$A$2:$D$201, 4, FALSE)</f>
        <v>South</v>
      </c>
      <c r="K146" t="str">
        <f>VLOOKUP(A146, Sheet3!$A$2:$D$201, 2, FALSE)</f>
        <v>FM_Hyd</v>
      </c>
      <c r="L146" s="4">
        <f t="shared" si="2"/>
        <v>0.2</v>
      </c>
    </row>
    <row r="147" spans="1:12">
      <c r="A147">
        <v>146</v>
      </c>
      <c r="B147" s="1">
        <v>46174</v>
      </c>
      <c r="C147">
        <v>106</v>
      </c>
      <c r="D147">
        <v>5</v>
      </c>
      <c r="E147">
        <v>7500</v>
      </c>
      <c r="F147">
        <v>1500</v>
      </c>
      <c r="G147" t="str">
        <f>VLOOKUP(C147, Sheet2!$A$2:$D$9, 2, FALSE)</f>
        <v>Shirt</v>
      </c>
      <c r="H147" t="str">
        <f>VLOOKUP(C147, Sheet2!$A$2:$D$9, 3, FALSE)</f>
        <v>Clothing</v>
      </c>
      <c r="I147" t="str">
        <f>VLOOKUP(A154, Sheet3!$A$2:$D$201, 3, FALSE)</f>
        <v>Hyderabad</v>
      </c>
      <c r="J147" t="str">
        <f>VLOOKUP(A147, Sheet3!$A$2:$D$201, 4, FALSE)</f>
        <v>South</v>
      </c>
      <c r="K147" t="str">
        <f>VLOOKUP(A147, Sheet3!$A$2:$D$201, 2, FALSE)</f>
        <v>FM_Blr</v>
      </c>
      <c r="L147" s="4">
        <f t="shared" si="2"/>
        <v>0.2</v>
      </c>
    </row>
    <row r="148" spans="1:12">
      <c r="A148">
        <v>147</v>
      </c>
      <c r="B148" s="1">
        <v>46204</v>
      </c>
      <c r="C148">
        <v>107</v>
      </c>
      <c r="D148">
        <v>3</v>
      </c>
      <c r="E148">
        <v>6000</v>
      </c>
      <c r="F148">
        <v>1200</v>
      </c>
      <c r="G148" t="str">
        <f>VLOOKUP(C148, Sheet2!$A$2:$D$9, 2, FALSE)</f>
        <v>Sneakers</v>
      </c>
      <c r="H148" t="str">
        <f>VLOOKUP(C148, Sheet2!$A$2:$D$9, 3, FALSE)</f>
        <v>Footwear</v>
      </c>
      <c r="I148" t="str">
        <f>VLOOKUP(A155, Sheet3!$A$2:$D$201, 3, FALSE)</f>
        <v>Bangalore</v>
      </c>
      <c r="J148" t="str">
        <f>VLOOKUP(A148, Sheet3!$A$2:$D$201, 4, FALSE)</f>
        <v>West</v>
      </c>
      <c r="K148" t="str">
        <f>VLOOKUP(A148, Sheet3!$A$2:$D$201, 2, FALSE)</f>
        <v>FM_Mum</v>
      </c>
      <c r="L148" s="4">
        <f t="shared" si="2"/>
        <v>0.2</v>
      </c>
    </row>
    <row r="149" spans="1:12">
      <c r="A149">
        <v>148</v>
      </c>
      <c r="B149" s="1">
        <v>46235</v>
      </c>
      <c r="C149">
        <v>108</v>
      </c>
      <c r="D149">
        <v>4</v>
      </c>
      <c r="E149">
        <v>7000</v>
      </c>
      <c r="F149">
        <v>1400</v>
      </c>
      <c r="G149" t="str">
        <f>VLOOKUP(C149, Sheet2!$A$2:$D$9, 2, FALSE)</f>
        <v>Hoodie</v>
      </c>
      <c r="H149" t="str">
        <f>VLOOKUP(C149, Sheet2!$A$2:$D$9, 3, FALSE)</f>
        <v>Clothing</v>
      </c>
      <c r="I149" t="str">
        <f>VLOOKUP(A156, Sheet3!$A$2:$D$201, 3, FALSE)</f>
        <v>Mumbai</v>
      </c>
      <c r="J149" t="str">
        <f>VLOOKUP(A149, Sheet3!$A$2:$D$201, 4, FALSE)</f>
        <v>West</v>
      </c>
      <c r="K149" t="str">
        <f>VLOOKUP(A149, Sheet3!$A$2:$D$201, 2, FALSE)</f>
        <v>FM_Pune</v>
      </c>
      <c r="L149" s="4">
        <f t="shared" si="2"/>
        <v>0.2</v>
      </c>
    </row>
    <row r="150" spans="1:12">
      <c r="A150">
        <v>149</v>
      </c>
      <c r="B150" s="1">
        <v>46266</v>
      </c>
      <c r="C150">
        <v>101</v>
      </c>
      <c r="D150">
        <v>6</v>
      </c>
      <c r="E150">
        <v>6000</v>
      </c>
      <c r="F150">
        <v>1200</v>
      </c>
      <c r="G150" t="str">
        <f>VLOOKUP(C150, Sheet2!$A$2:$D$9, 2, FALSE)</f>
        <v>T-Shirt</v>
      </c>
      <c r="H150" t="str">
        <f>VLOOKUP(C150, Sheet2!$A$2:$D$9, 3, FALSE)</f>
        <v>Clothing</v>
      </c>
      <c r="I150" t="str">
        <f>VLOOKUP(A157, Sheet3!$A$2:$D$201, 3, FALSE)</f>
        <v>Pune</v>
      </c>
      <c r="J150" t="str">
        <f>VLOOKUP(A150, Sheet3!$A$2:$D$201, 4, FALSE)</f>
        <v>North</v>
      </c>
      <c r="K150" t="str">
        <f>VLOOKUP(A150, Sheet3!$A$2:$D$201, 2, FALSE)</f>
        <v>FM_Del</v>
      </c>
      <c r="L150" s="4">
        <f t="shared" si="2"/>
        <v>0.2</v>
      </c>
    </row>
    <row r="151" spans="1:12">
      <c r="A151">
        <v>150</v>
      </c>
      <c r="B151" s="1">
        <v>46296</v>
      </c>
      <c r="C151">
        <v>102</v>
      </c>
      <c r="D151">
        <v>4</v>
      </c>
      <c r="E151">
        <v>8000</v>
      </c>
      <c r="F151">
        <v>1600</v>
      </c>
      <c r="G151" t="str">
        <f>VLOOKUP(C151, Sheet2!$A$2:$D$9, 2, FALSE)</f>
        <v>Jeans</v>
      </c>
      <c r="H151" t="str">
        <f>VLOOKUP(C151, Sheet2!$A$2:$D$9, 3, FALSE)</f>
        <v>Clothing</v>
      </c>
      <c r="I151" t="str">
        <f>VLOOKUP(A158, Sheet3!$A$2:$D$201, 3, FALSE)</f>
        <v>Delhi</v>
      </c>
      <c r="J151" t="str">
        <f>VLOOKUP(A151, Sheet3!$A$2:$D$201, 4, FALSE)</f>
        <v>North</v>
      </c>
      <c r="K151" t="str">
        <f>VLOOKUP(A151, Sheet3!$A$2:$D$201, 2, FALSE)</f>
        <v>FM_Jaipur</v>
      </c>
      <c r="L151" s="4">
        <f t="shared" si="2"/>
        <v>0.2</v>
      </c>
    </row>
    <row r="152" spans="1:12">
      <c r="A152">
        <v>151</v>
      </c>
      <c r="B152" s="1">
        <v>46023</v>
      </c>
      <c r="C152">
        <v>101</v>
      </c>
      <c r="D152">
        <v>5</v>
      </c>
      <c r="E152">
        <v>5000</v>
      </c>
      <c r="F152">
        <v>1000</v>
      </c>
      <c r="G152" t="str">
        <f>VLOOKUP(C152, Sheet2!$A$2:$D$9, 2, FALSE)</f>
        <v>T-Shirt</v>
      </c>
      <c r="H152" t="str">
        <f>VLOOKUP(C152, Sheet2!$A$2:$D$9, 3, FALSE)</f>
        <v>Clothing</v>
      </c>
      <c r="I152" t="str">
        <f>VLOOKUP(A159, Sheet3!$A$2:$D$201, 3, FALSE)</f>
        <v>Jaipur</v>
      </c>
      <c r="J152" t="str">
        <f>VLOOKUP(A152, Sheet3!$A$2:$D$201, 4, FALSE)</f>
        <v>East</v>
      </c>
      <c r="K152" t="str">
        <f>VLOOKUP(A152, Sheet3!$A$2:$D$201, 2, FALSE)</f>
        <v>FM_Kol</v>
      </c>
      <c r="L152" s="4">
        <f t="shared" si="2"/>
        <v>0.2</v>
      </c>
    </row>
    <row r="153" spans="1:12">
      <c r="A153">
        <v>152</v>
      </c>
      <c r="B153" s="1">
        <v>46054</v>
      </c>
      <c r="C153">
        <v>102</v>
      </c>
      <c r="D153">
        <v>3</v>
      </c>
      <c r="E153">
        <v>6000</v>
      </c>
      <c r="F153">
        <v>1200</v>
      </c>
      <c r="G153" t="str">
        <f>VLOOKUP(C153, Sheet2!$A$2:$D$9, 2, FALSE)</f>
        <v>Jeans</v>
      </c>
      <c r="H153" t="str">
        <f>VLOOKUP(C153, Sheet2!$A$2:$D$9, 3, FALSE)</f>
        <v>Clothing</v>
      </c>
      <c r="I153" t="str">
        <f>VLOOKUP(A160, Sheet3!$A$2:$D$201, 3, FALSE)</f>
        <v>Kolkata</v>
      </c>
      <c r="J153" t="str">
        <f>VLOOKUP(A153, Sheet3!$A$2:$D$201, 4, FALSE)</f>
        <v>South</v>
      </c>
      <c r="K153" t="str">
        <f>VLOOKUP(A153, Sheet3!$A$2:$D$201, 2, FALSE)</f>
        <v>FM_Chennai</v>
      </c>
      <c r="L153" s="4">
        <f t="shared" si="2"/>
        <v>0.2</v>
      </c>
    </row>
    <row r="154" spans="1:12">
      <c r="A154">
        <v>153</v>
      </c>
      <c r="B154" s="1">
        <v>46082</v>
      </c>
      <c r="C154">
        <v>103</v>
      </c>
      <c r="D154">
        <v>4</v>
      </c>
      <c r="E154">
        <v>8000</v>
      </c>
      <c r="F154">
        <v>1600</v>
      </c>
      <c r="G154" t="str">
        <f>VLOOKUP(C154, Sheet2!$A$2:$D$9, 2, FALSE)</f>
        <v>Shoes</v>
      </c>
      <c r="H154" t="str">
        <f>VLOOKUP(C154, Sheet2!$A$2:$D$9, 3, FALSE)</f>
        <v>Footwear</v>
      </c>
      <c r="I154" t="str">
        <f>VLOOKUP(A161, Sheet3!$A$2:$D$201, 3, FALSE)</f>
        <v>Chennai</v>
      </c>
      <c r="J154" t="str">
        <f>VLOOKUP(A154, Sheet3!$A$2:$D$201, 4, FALSE)</f>
        <v>South</v>
      </c>
      <c r="K154" t="str">
        <f>VLOOKUP(A154, Sheet3!$A$2:$D$201, 2, FALSE)</f>
        <v>FM_Hyd</v>
      </c>
      <c r="L154" s="4">
        <f t="shared" si="2"/>
        <v>0.2</v>
      </c>
    </row>
    <row r="155" spans="1:12">
      <c r="A155">
        <v>154</v>
      </c>
      <c r="B155" s="1">
        <v>46113</v>
      </c>
      <c r="C155">
        <v>104</v>
      </c>
      <c r="D155">
        <v>2</v>
      </c>
      <c r="E155">
        <v>4000</v>
      </c>
      <c r="F155">
        <v>800</v>
      </c>
      <c r="G155" t="str">
        <f>VLOOKUP(C155, Sheet2!$A$2:$D$9, 2, FALSE)</f>
        <v>Jacket</v>
      </c>
      <c r="H155" t="str">
        <f>VLOOKUP(C155, Sheet2!$A$2:$D$9, 3, FALSE)</f>
        <v>Clothing</v>
      </c>
      <c r="I155" t="str">
        <f>VLOOKUP(A162, Sheet3!$A$2:$D$201, 3, FALSE)</f>
        <v>Hyderabad</v>
      </c>
      <c r="J155" t="str">
        <f>VLOOKUP(A155, Sheet3!$A$2:$D$201, 4, FALSE)</f>
        <v>South</v>
      </c>
      <c r="K155" t="str">
        <f>VLOOKUP(A155, Sheet3!$A$2:$D$201, 2, FALSE)</f>
        <v>FM_Blr</v>
      </c>
      <c r="L155" s="4">
        <f t="shared" si="2"/>
        <v>0.2</v>
      </c>
    </row>
    <row r="156" spans="1:12">
      <c r="A156">
        <v>155</v>
      </c>
      <c r="B156" s="1">
        <v>46143</v>
      </c>
      <c r="C156">
        <v>105</v>
      </c>
      <c r="D156">
        <v>6</v>
      </c>
      <c r="E156">
        <v>9000</v>
      </c>
      <c r="F156">
        <v>1800</v>
      </c>
      <c r="G156" t="str">
        <f>VLOOKUP(C156, Sheet2!$A$2:$D$9, 2, FALSE)</f>
        <v>Sandals</v>
      </c>
      <c r="H156" t="str">
        <f>VLOOKUP(C156, Sheet2!$A$2:$D$9, 3, FALSE)</f>
        <v>Footwear</v>
      </c>
      <c r="I156" t="str">
        <f>VLOOKUP(A163, Sheet3!$A$2:$D$201, 3, FALSE)</f>
        <v>Bangalore</v>
      </c>
      <c r="J156" t="str">
        <f>VLOOKUP(A156, Sheet3!$A$2:$D$201, 4, FALSE)</f>
        <v>West</v>
      </c>
      <c r="K156" t="str">
        <f>VLOOKUP(A156, Sheet3!$A$2:$D$201, 2, FALSE)</f>
        <v>FM_Mum</v>
      </c>
      <c r="L156" s="4">
        <f t="shared" si="2"/>
        <v>0.2</v>
      </c>
    </row>
    <row r="157" spans="1:12">
      <c r="A157">
        <v>156</v>
      </c>
      <c r="B157" s="1">
        <v>46174</v>
      </c>
      <c r="C157">
        <v>106</v>
      </c>
      <c r="D157">
        <v>5</v>
      </c>
      <c r="E157">
        <v>7500</v>
      </c>
      <c r="F157">
        <v>1500</v>
      </c>
      <c r="G157" t="str">
        <f>VLOOKUP(C157, Sheet2!$A$2:$D$9, 2, FALSE)</f>
        <v>Shirt</v>
      </c>
      <c r="H157" t="str">
        <f>VLOOKUP(C157, Sheet2!$A$2:$D$9, 3, FALSE)</f>
        <v>Clothing</v>
      </c>
      <c r="I157" t="str">
        <f>VLOOKUP(A164, Sheet3!$A$2:$D$201, 3, FALSE)</f>
        <v>Mumbai</v>
      </c>
      <c r="J157" t="str">
        <f>VLOOKUP(A157, Sheet3!$A$2:$D$201, 4, FALSE)</f>
        <v>West</v>
      </c>
      <c r="K157" t="str">
        <f>VLOOKUP(A157, Sheet3!$A$2:$D$201, 2, FALSE)</f>
        <v>FM_Pune</v>
      </c>
      <c r="L157" s="4">
        <f t="shared" si="2"/>
        <v>0.2</v>
      </c>
    </row>
    <row r="158" spans="1:12">
      <c r="A158">
        <v>157</v>
      </c>
      <c r="B158" s="1">
        <v>46204</v>
      </c>
      <c r="C158">
        <v>107</v>
      </c>
      <c r="D158">
        <v>3</v>
      </c>
      <c r="E158">
        <v>6000</v>
      </c>
      <c r="F158">
        <v>1200</v>
      </c>
      <c r="G158" t="str">
        <f>VLOOKUP(C158, Sheet2!$A$2:$D$9, 2, FALSE)</f>
        <v>Sneakers</v>
      </c>
      <c r="H158" t="str">
        <f>VLOOKUP(C158, Sheet2!$A$2:$D$9, 3, FALSE)</f>
        <v>Footwear</v>
      </c>
      <c r="I158" t="str">
        <f>VLOOKUP(A165, Sheet3!$A$2:$D$201, 3, FALSE)</f>
        <v>Pune</v>
      </c>
      <c r="J158" t="str">
        <f>VLOOKUP(A158, Sheet3!$A$2:$D$201, 4, FALSE)</f>
        <v>North</v>
      </c>
      <c r="K158" t="str">
        <f>VLOOKUP(A158, Sheet3!$A$2:$D$201, 2, FALSE)</f>
        <v>FM_Del</v>
      </c>
      <c r="L158" s="4">
        <f t="shared" si="2"/>
        <v>0.2</v>
      </c>
    </row>
    <row r="159" spans="1:12">
      <c r="A159">
        <v>158</v>
      </c>
      <c r="B159" s="1">
        <v>46235</v>
      </c>
      <c r="C159">
        <v>108</v>
      </c>
      <c r="D159">
        <v>4</v>
      </c>
      <c r="E159">
        <v>7000</v>
      </c>
      <c r="F159">
        <v>1400</v>
      </c>
      <c r="G159" t="str">
        <f>VLOOKUP(C159, Sheet2!$A$2:$D$9, 2, FALSE)</f>
        <v>Hoodie</v>
      </c>
      <c r="H159" t="str">
        <f>VLOOKUP(C159, Sheet2!$A$2:$D$9, 3, FALSE)</f>
        <v>Clothing</v>
      </c>
      <c r="I159" t="str">
        <f>VLOOKUP(A166, Sheet3!$A$2:$D$201, 3, FALSE)</f>
        <v>Delhi</v>
      </c>
      <c r="J159" t="str">
        <f>VLOOKUP(A159, Sheet3!$A$2:$D$201, 4, FALSE)</f>
        <v>North</v>
      </c>
      <c r="K159" t="str">
        <f>VLOOKUP(A159, Sheet3!$A$2:$D$201, 2, FALSE)</f>
        <v>FM_Jaipur</v>
      </c>
      <c r="L159" s="4">
        <f t="shared" si="2"/>
        <v>0.2</v>
      </c>
    </row>
    <row r="160" spans="1:12">
      <c r="A160">
        <v>159</v>
      </c>
      <c r="B160" s="1">
        <v>46266</v>
      </c>
      <c r="C160">
        <v>101</v>
      </c>
      <c r="D160">
        <v>6</v>
      </c>
      <c r="E160">
        <v>6000</v>
      </c>
      <c r="F160">
        <v>1200</v>
      </c>
      <c r="G160" t="str">
        <f>VLOOKUP(C160, Sheet2!$A$2:$D$9, 2, FALSE)</f>
        <v>T-Shirt</v>
      </c>
      <c r="H160" t="str">
        <f>VLOOKUP(C160, Sheet2!$A$2:$D$9, 3, FALSE)</f>
        <v>Clothing</v>
      </c>
      <c r="I160" t="str">
        <f>VLOOKUP(A167, Sheet3!$A$2:$D$201, 3, FALSE)</f>
        <v>Jaipur</v>
      </c>
      <c r="J160" t="str">
        <f>VLOOKUP(A160, Sheet3!$A$2:$D$201, 4, FALSE)</f>
        <v>East</v>
      </c>
      <c r="K160" t="str">
        <f>VLOOKUP(A160, Sheet3!$A$2:$D$201, 2, FALSE)</f>
        <v>FM_Kol</v>
      </c>
      <c r="L160" s="4">
        <f t="shared" si="2"/>
        <v>0.2</v>
      </c>
    </row>
    <row r="161" spans="1:12">
      <c r="A161">
        <v>160</v>
      </c>
      <c r="B161" s="1">
        <v>46296</v>
      </c>
      <c r="C161">
        <v>102</v>
      </c>
      <c r="D161">
        <v>4</v>
      </c>
      <c r="E161">
        <v>8000</v>
      </c>
      <c r="F161">
        <v>1600</v>
      </c>
      <c r="G161" t="str">
        <f>VLOOKUP(C161, Sheet2!$A$2:$D$9, 2, FALSE)</f>
        <v>Jeans</v>
      </c>
      <c r="H161" t="str">
        <f>VLOOKUP(C161, Sheet2!$A$2:$D$9, 3, FALSE)</f>
        <v>Clothing</v>
      </c>
      <c r="I161" t="str">
        <f>VLOOKUP(A168, Sheet3!$A$2:$D$201, 3, FALSE)</f>
        <v>Kolkata</v>
      </c>
      <c r="J161" t="str">
        <f>VLOOKUP(A161, Sheet3!$A$2:$D$201, 4, FALSE)</f>
        <v>South</v>
      </c>
      <c r="K161" t="str">
        <f>VLOOKUP(A161, Sheet3!$A$2:$D$201, 2, FALSE)</f>
        <v>FM_Chennai</v>
      </c>
      <c r="L161" s="4">
        <f t="shared" si="2"/>
        <v>0.2</v>
      </c>
    </row>
    <row r="162" spans="1:12">
      <c r="A162">
        <v>161</v>
      </c>
      <c r="B162" s="1">
        <v>46023</v>
      </c>
      <c r="C162">
        <v>101</v>
      </c>
      <c r="D162">
        <v>5</v>
      </c>
      <c r="E162">
        <v>5000</v>
      </c>
      <c r="F162">
        <v>1000</v>
      </c>
      <c r="G162" t="str">
        <f>VLOOKUP(C162, Sheet2!$A$2:$D$9, 2, FALSE)</f>
        <v>T-Shirt</v>
      </c>
      <c r="H162" t="str">
        <f>VLOOKUP(C162, Sheet2!$A$2:$D$9, 3, FALSE)</f>
        <v>Clothing</v>
      </c>
      <c r="I162" t="str">
        <f>VLOOKUP(A169, Sheet3!$A$2:$D$201, 3, FALSE)</f>
        <v>Chennai</v>
      </c>
      <c r="J162" t="str">
        <f>VLOOKUP(A162, Sheet3!$A$2:$D$201, 4, FALSE)</f>
        <v>South</v>
      </c>
      <c r="K162" t="str">
        <f>VLOOKUP(A162, Sheet3!$A$2:$D$201, 2, FALSE)</f>
        <v>FM_Hyd</v>
      </c>
      <c r="L162" s="4">
        <f t="shared" si="2"/>
        <v>0.2</v>
      </c>
    </row>
    <row r="163" spans="1:12">
      <c r="A163">
        <v>162</v>
      </c>
      <c r="B163" s="1">
        <v>46054</v>
      </c>
      <c r="C163">
        <v>102</v>
      </c>
      <c r="D163">
        <v>3</v>
      </c>
      <c r="E163">
        <v>6000</v>
      </c>
      <c r="F163">
        <v>1200</v>
      </c>
      <c r="G163" t="str">
        <f>VLOOKUP(C163, Sheet2!$A$2:$D$9, 2, FALSE)</f>
        <v>Jeans</v>
      </c>
      <c r="H163" t="str">
        <f>VLOOKUP(C163, Sheet2!$A$2:$D$9, 3, FALSE)</f>
        <v>Clothing</v>
      </c>
      <c r="I163" t="str">
        <f>VLOOKUP(A170, Sheet3!$A$2:$D$201, 3, FALSE)</f>
        <v>Hyderabad</v>
      </c>
      <c r="J163" t="str">
        <f>VLOOKUP(A163, Sheet3!$A$2:$D$201, 4, FALSE)</f>
        <v>South</v>
      </c>
      <c r="K163" t="str">
        <f>VLOOKUP(A163, Sheet3!$A$2:$D$201, 2, FALSE)</f>
        <v>FM_Blr</v>
      </c>
      <c r="L163" s="4">
        <f t="shared" si="2"/>
        <v>0.2</v>
      </c>
    </row>
    <row r="164" spans="1:12">
      <c r="A164">
        <v>163</v>
      </c>
      <c r="B164" s="1">
        <v>46082</v>
      </c>
      <c r="C164">
        <v>103</v>
      </c>
      <c r="D164">
        <v>4</v>
      </c>
      <c r="E164">
        <v>8000</v>
      </c>
      <c r="F164">
        <v>1600</v>
      </c>
      <c r="G164" t="str">
        <f>VLOOKUP(C164, Sheet2!$A$2:$D$9, 2, FALSE)</f>
        <v>Shoes</v>
      </c>
      <c r="H164" t="str">
        <f>VLOOKUP(C164, Sheet2!$A$2:$D$9, 3, FALSE)</f>
        <v>Footwear</v>
      </c>
      <c r="I164" t="str">
        <f>VLOOKUP(A171, Sheet3!$A$2:$D$201, 3, FALSE)</f>
        <v>Bangalore</v>
      </c>
      <c r="J164" t="str">
        <f>VLOOKUP(A164, Sheet3!$A$2:$D$201, 4, FALSE)</f>
        <v>West</v>
      </c>
      <c r="K164" t="str">
        <f>VLOOKUP(A164, Sheet3!$A$2:$D$201, 2, FALSE)</f>
        <v>FM_Mum</v>
      </c>
      <c r="L164" s="4">
        <f t="shared" si="2"/>
        <v>0.2</v>
      </c>
    </row>
    <row r="165" spans="1:12">
      <c r="A165">
        <v>164</v>
      </c>
      <c r="B165" s="1">
        <v>46113</v>
      </c>
      <c r="C165">
        <v>104</v>
      </c>
      <c r="D165">
        <v>2</v>
      </c>
      <c r="E165">
        <v>4000</v>
      </c>
      <c r="F165">
        <v>800</v>
      </c>
      <c r="G165" t="str">
        <f>VLOOKUP(C165, Sheet2!$A$2:$D$9, 2, FALSE)</f>
        <v>Jacket</v>
      </c>
      <c r="H165" t="str">
        <f>VLOOKUP(C165, Sheet2!$A$2:$D$9, 3, FALSE)</f>
        <v>Clothing</v>
      </c>
      <c r="I165" t="str">
        <f>VLOOKUP(A172, Sheet3!$A$2:$D$201, 3, FALSE)</f>
        <v>Mumbai</v>
      </c>
      <c r="J165" t="str">
        <f>VLOOKUP(A165, Sheet3!$A$2:$D$201, 4, FALSE)</f>
        <v>West</v>
      </c>
      <c r="K165" t="str">
        <f>VLOOKUP(A165, Sheet3!$A$2:$D$201, 2, FALSE)</f>
        <v>FM_Pune</v>
      </c>
      <c r="L165" s="4">
        <f t="shared" si="2"/>
        <v>0.2</v>
      </c>
    </row>
    <row r="166" spans="1:12">
      <c r="A166">
        <v>165</v>
      </c>
      <c r="B166" s="1">
        <v>46143</v>
      </c>
      <c r="C166">
        <v>105</v>
      </c>
      <c r="D166">
        <v>6</v>
      </c>
      <c r="E166">
        <v>9000</v>
      </c>
      <c r="F166">
        <v>1800</v>
      </c>
      <c r="G166" t="str">
        <f>VLOOKUP(C166, Sheet2!$A$2:$D$9, 2, FALSE)</f>
        <v>Sandals</v>
      </c>
      <c r="H166" t="str">
        <f>VLOOKUP(C166, Sheet2!$A$2:$D$9, 3, FALSE)</f>
        <v>Footwear</v>
      </c>
      <c r="I166" t="str">
        <f>VLOOKUP(A173, Sheet3!$A$2:$D$201, 3, FALSE)</f>
        <v>Pune</v>
      </c>
      <c r="J166" t="str">
        <f>VLOOKUP(A166, Sheet3!$A$2:$D$201, 4, FALSE)</f>
        <v>North</v>
      </c>
      <c r="K166" t="str">
        <f>VLOOKUP(A166, Sheet3!$A$2:$D$201, 2, FALSE)</f>
        <v>FM_Del</v>
      </c>
      <c r="L166" s="4">
        <f t="shared" si="2"/>
        <v>0.2</v>
      </c>
    </row>
    <row r="167" spans="1:12">
      <c r="A167">
        <v>166</v>
      </c>
      <c r="B167" s="1">
        <v>46174</v>
      </c>
      <c r="C167">
        <v>106</v>
      </c>
      <c r="D167">
        <v>5</v>
      </c>
      <c r="E167">
        <v>7500</v>
      </c>
      <c r="F167">
        <v>1500</v>
      </c>
      <c r="G167" t="str">
        <f>VLOOKUP(C167, Sheet2!$A$2:$D$9, 2, FALSE)</f>
        <v>Shirt</v>
      </c>
      <c r="H167" t="str">
        <f>VLOOKUP(C167, Sheet2!$A$2:$D$9, 3, FALSE)</f>
        <v>Clothing</v>
      </c>
      <c r="I167" t="str">
        <f>VLOOKUP(A174, Sheet3!$A$2:$D$201, 3, FALSE)</f>
        <v>Delhi</v>
      </c>
      <c r="J167" t="str">
        <f>VLOOKUP(A167, Sheet3!$A$2:$D$201, 4, FALSE)</f>
        <v>North</v>
      </c>
      <c r="K167" t="str">
        <f>VLOOKUP(A167, Sheet3!$A$2:$D$201, 2, FALSE)</f>
        <v>FM_Jaipur</v>
      </c>
      <c r="L167" s="4">
        <f t="shared" si="2"/>
        <v>0.2</v>
      </c>
    </row>
    <row r="168" spans="1:12">
      <c r="A168">
        <v>167</v>
      </c>
      <c r="B168" s="1">
        <v>46204</v>
      </c>
      <c r="C168">
        <v>107</v>
      </c>
      <c r="D168">
        <v>3</v>
      </c>
      <c r="E168">
        <v>6000</v>
      </c>
      <c r="F168">
        <v>1200</v>
      </c>
      <c r="G168" t="str">
        <f>VLOOKUP(C168, Sheet2!$A$2:$D$9, 2, FALSE)</f>
        <v>Sneakers</v>
      </c>
      <c r="H168" t="str">
        <f>VLOOKUP(C168, Sheet2!$A$2:$D$9, 3, FALSE)</f>
        <v>Footwear</v>
      </c>
      <c r="I168" t="str">
        <f>VLOOKUP(A175, Sheet3!$A$2:$D$201, 3, FALSE)</f>
        <v>Jaipur</v>
      </c>
      <c r="J168" t="str">
        <f>VLOOKUP(A168, Sheet3!$A$2:$D$201, 4, FALSE)</f>
        <v>East</v>
      </c>
      <c r="K168" t="str">
        <f>VLOOKUP(A168, Sheet3!$A$2:$D$201, 2, FALSE)</f>
        <v>FM_Kol</v>
      </c>
      <c r="L168" s="4">
        <f t="shared" si="2"/>
        <v>0.2</v>
      </c>
    </row>
    <row r="169" spans="1:12">
      <c r="A169">
        <v>168</v>
      </c>
      <c r="B169" s="1">
        <v>46235</v>
      </c>
      <c r="C169">
        <v>108</v>
      </c>
      <c r="D169">
        <v>4</v>
      </c>
      <c r="E169">
        <v>7000</v>
      </c>
      <c r="F169">
        <v>1400</v>
      </c>
      <c r="G169" t="str">
        <f>VLOOKUP(C169, Sheet2!$A$2:$D$9, 2, FALSE)</f>
        <v>Hoodie</v>
      </c>
      <c r="H169" t="str">
        <f>VLOOKUP(C169, Sheet2!$A$2:$D$9, 3, FALSE)</f>
        <v>Clothing</v>
      </c>
      <c r="I169" t="str">
        <f>VLOOKUP(A176, Sheet3!$A$2:$D$201, 3, FALSE)</f>
        <v>Kolkata</v>
      </c>
      <c r="J169" t="str">
        <f>VLOOKUP(A169, Sheet3!$A$2:$D$201, 4, FALSE)</f>
        <v>South</v>
      </c>
      <c r="K169" t="str">
        <f>VLOOKUP(A169, Sheet3!$A$2:$D$201, 2, FALSE)</f>
        <v>FM_Chennai</v>
      </c>
      <c r="L169" s="4">
        <f t="shared" si="2"/>
        <v>0.2</v>
      </c>
    </row>
    <row r="170" spans="1:12">
      <c r="A170">
        <v>169</v>
      </c>
      <c r="B170" s="1">
        <v>46266</v>
      </c>
      <c r="C170">
        <v>101</v>
      </c>
      <c r="D170">
        <v>6</v>
      </c>
      <c r="E170">
        <v>6000</v>
      </c>
      <c r="F170">
        <v>1200</v>
      </c>
      <c r="G170" t="str">
        <f>VLOOKUP(C170, Sheet2!$A$2:$D$9, 2, FALSE)</f>
        <v>T-Shirt</v>
      </c>
      <c r="H170" t="str">
        <f>VLOOKUP(C170, Sheet2!$A$2:$D$9, 3, FALSE)</f>
        <v>Clothing</v>
      </c>
      <c r="I170" t="str">
        <f>VLOOKUP(A177, Sheet3!$A$2:$D$201, 3, FALSE)</f>
        <v>Chennai</v>
      </c>
      <c r="J170" t="str">
        <f>VLOOKUP(A170, Sheet3!$A$2:$D$201, 4, FALSE)</f>
        <v>South</v>
      </c>
      <c r="K170" t="str">
        <f>VLOOKUP(A170, Sheet3!$A$2:$D$201, 2, FALSE)</f>
        <v>FM_Hyd</v>
      </c>
      <c r="L170" s="4">
        <f t="shared" si="2"/>
        <v>0.2</v>
      </c>
    </row>
    <row r="171" spans="1:12">
      <c r="A171">
        <v>170</v>
      </c>
      <c r="B171" s="1">
        <v>46296</v>
      </c>
      <c r="C171">
        <v>102</v>
      </c>
      <c r="D171">
        <v>4</v>
      </c>
      <c r="E171">
        <v>8000</v>
      </c>
      <c r="F171">
        <v>1600</v>
      </c>
      <c r="G171" t="str">
        <f>VLOOKUP(C171, Sheet2!$A$2:$D$9, 2, FALSE)</f>
        <v>Jeans</v>
      </c>
      <c r="H171" t="str">
        <f>VLOOKUP(C171, Sheet2!$A$2:$D$9, 3, FALSE)</f>
        <v>Clothing</v>
      </c>
      <c r="I171" t="str">
        <f>VLOOKUP(A178, Sheet3!$A$2:$D$201, 3, FALSE)</f>
        <v>Hyderabad</v>
      </c>
      <c r="J171" t="str">
        <f>VLOOKUP(A171, Sheet3!$A$2:$D$201, 4, FALSE)</f>
        <v>South</v>
      </c>
      <c r="K171" t="str">
        <f>VLOOKUP(A171, Sheet3!$A$2:$D$201, 2, FALSE)</f>
        <v>FM_Blr</v>
      </c>
      <c r="L171" s="4">
        <f t="shared" si="2"/>
        <v>0.2</v>
      </c>
    </row>
    <row r="172" spans="1:12">
      <c r="A172">
        <v>171</v>
      </c>
      <c r="B172" s="1">
        <v>46023</v>
      </c>
      <c r="C172">
        <v>101</v>
      </c>
      <c r="D172">
        <v>5</v>
      </c>
      <c r="E172">
        <v>5000</v>
      </c>
      <c r="F172">
        <v>1000</v>
      </c>
      <c r="G172" t="str">
        <f>VLOOKUP(C172, Sheet2!$A$2:$D$9, 2, FALSE)</f>
        <v>T-Shirt</v>
      </c>
      <c r="H172" t="str">
        <f>VLOOKUP(C172, Sheet2!$A$2:$D$9, 3, FALSE)</f>
        <v>Clothing</v>
      </c>
      <c r="I172" t="str">
        <f>VLOOKUP(A179, Sheet3!$A$2:$D$201, 3, FALSE)</f>
        <v>Bangalore</v>
      </c>
      <c r="J172" t="str">
        <f>VLOOKUP(A172, Sheet3!$A$2:$D$201, 4, FALSE)</f>
        <v>West</v>
      </c>
      <c r="K172" t="str">
        <f>VLOOKUP(A172, Sheet3!$A$2:$D$201, 2, FALSE)</f>
        <v>FM_Mum</v>
      </c>
      <c r="L172" s="4">
        <f t="shared" si="2"/>
        <v>0.2</v>
      </c>
    </row>
    <row r="173" spans="1:12">
      <c r="A173">
        <v>172</v>
      </c>
      <c r="B173" s="1">
        <v>46054</v>
      </c>
      <c r="C173">
        <v>102</v>
      </c>
      <c r="D173">
        <v>3</v>
      </c>
      <c r="E173">
        <v>6000</v>
      </c>
      <c r="F173">
        <v>1200</v>
      </c>
      <c r="G173" t="str">
        <f>VLOOKUP(C173, Sheet2!$A$2:$D$9, 2, FALSE)</f>
        <v>Jeans</v>
      </c>
      <c r="H173" t="str">
        <f>VLOOKUP(C173, Sheet2!$A$2:$D$9, 3, FALSE)</f>
        <v>Clothing</v>
      </c>
      <c r="I173" t="str">
        <f>VLOOKUP(A180, Sheet3!$A$2:$D$201, 3, FALSE)</f>
        <v>Mumbai</v>
      </c>
      <c r="J173" t="str">
        <f>VLOOKUP(A173, Sheet3!$A$2:$D$201, 4, FALSE)</f>
        <v>West</v>
      </c>
      <c r="K173" t="str">
        <f>VLOOKUP(A173, Sheet3!$A$2:$D$201, 2, FALSE)</f>
        <v>FM_Pune</v>
      </c>
      <c r="L173" s="4">
        <f t="shared" si="2"/>
        <v>0.2</v>
      </c>
    </row>
    <row r="174" spans="1:12">
      <c r="A174">
        <v>173</v>
      </c>
      <c r="B174" s="1">
        <v>46082</v>
      </c>
      <c r="C174">
        <v>103</v>
      </c>
      <c r="D174">
        <v>4</v>
      </c>
      <c r="E174">
        <v>8000</v>
      </c>
      <c r="F174">
        <v>1600</v>
      </c>
      <c r="G174" t="str">
        <f>VLOOKUP(C174, Sheet2!$A$2:$D$9, 2, FALSE)</f>
        <v>Shoes</v>
      </c>
      <c r="H174" t="str">
        <f>VLOOKUP(C174, Sheet2!$A$2:$D$9, 3, FALSE)</f>
        <v>Footwear</v>
      </c>
      <c r="I174" t="str">
        <f>VLOOKUP(A181, Sheet3!$A$2:$D$201, 3, FALSE)</f>
        <v>Pune</v>
      </c>
      <c r="J174" t="str">
        <f>VLOOKUP(A174, Sheet3!$A$2:$D$201, 4, FALSE)</f>
        <v>North</v>
      </c>
      <c r="K174" t="str">
        <f>VLOOKUP(A174, Sheet3!$A$2:$D$201, 2, FALSE)</f>
        <v>FM_Del</v>
      </c>
      <c r="L174" s="4">
        <f t="shared" si="2"/>
        <v>0.2</v>
      </c>
    </row>
    <row r="175" spans="1:12">
      <c r="A175">
        <v>174</v>
      </c>
      <c r="B175" s="1">
        <v>46113</v>
      </c>
      <c r="C175">
        <v>104</v>
      </c>
      <c r="D175">
        <v>2</v>
      </c>
      <c r="E175">
        <v>4000</v>
      </c>
      <c r="F175">
        <v>800</v>
      </c>
      <c r="G175" t="str">
        <f>VLOOKUP(C175, Sheet2!$A$2:$D$9, 2, FALSE)</f>
        <v>Jacket</v>
      </c>
      <c r="H175" t="str">
        <f>VLOOKUP(C175, Sheet2!$A$2:$D$9, 3, FALSE)</f>
        <v>Clothing</v>
      </c>
      <c r="I175" t="str">
        <f>VLOOKUP(A182, Sheet3!$A$2:$D$201, 3, FALSE)</f>
        <v>Delhi</v>
      </c>
      <c r="J175" t="str">
        <f>VLOOKUP(A175, Sheet3!$A$2:$D$201, 4, FALSE)</f>
        <v>North</v>
      </c>
      <c r="K175" t="str">
        <f>VLOOKUP(A175, Sheet3!$A$2:$D$201, 2, FALSE)</f>
        <v>FM_Jaipur</v>
      </c>
      <c r="L175" s="4">
        <f t="shared" si="2"/>
        <v>0.2</v>
      </c>
    </row>
    <row r="176" spans="1:12">
      <c r="A176">
        <v>175</v>
      </c>
      <c r="B176" s="1">
        <v>46143</v>
      </c>
      <c r="C176">
        <v>105</v>
      </c>
      <c r="D176">
        <v>6</v>
      </c>
      <c r="E176">
        <v>9000</v>
      </c>
      <c r="F176">
        <v>1800</v>
      </c>
      <c r="G176" t="str">
        <f>VLOOKUP(C176, Sheet2!$A$2:$D$9, 2, FALSE)</f>
        <v>Sandals</v>
      </c>
      <c r="H176" t="str">
        <f>VLOOKUP(C176, Sheet2!$A$2:$D$9, 3, FALSE)</f>
        <v>Footwear</v>
      </c>
      <c r="I176" t="str">
        <f>VLOOKUP(A183, Sheet3!$A$2:$D$201, 3, FALSE)</f>
        <v>Jaipur</v>
      </c>
      <c r="J176" t="str">
        <f>VLOOKUP(A176, Sheet3!$A$2:$D$201, 4, FALSE)</f>
        <v>East</v>
      </c>
      <c r="K176" t="str">
        <f>VLOOKUP(A176, Sheet3!$A$2:$D$201, 2, FALSE)</f>
        <v>FM_Kol</v>
      </c>
      <c r="L176" s="4">
        <f t="shared" si="2"/>
        <v>0.2</v>
      </c>
    </row>
    <row r="177" spans="1:12">
      <c r="A177">
        <v>176</v>
      </c>
      <c r="B177" s="1">
        <v>46174</v>
      </c>
      <c r="C177">
        <v>106</v>
      </c>
      <c r="D177">
        <v>5</v>
      </c>
      <c r="E177">
        <v>7500</v>
      </c>
      <c r="F177">
        <v>1500</v>
      </c>
      <c r="G177" t="str">
        <f>VLOOKUP(C177, Sheet2!$A$2:$D$9, 2, FALSE)</f>
        <v>Shirt</v>
      </c>
      <c r="H177" t="str">
        <f>VLOOKUP(C177, Sheet2!$A$2:$D$9, 3, FALSE)</f>
        <v>Clothing</v>
      </c>
      <c r="I177" t="str">
        <f>VLOOKUP(A184, Sheet3!$A$2:$D$201, 3, FALSE)</f>
        <v>Kolkata</v>
      </c>
      <c r="J177" t="str">
        <f>VLOOKUP(A177, Sheet3!$A$2:$D$201, 4, FALSE)</f>
        <v>South</v>
      </c>
      <c r="K177" t="str">
        <f>VLOOKUP(A177, Sheet3!$A$2:$D$201, 2, FALSE)</f>
        <v>FM_Chennai</v>
      </c>
      <c r="L177" s="4">
        <f t="shared" si="2"/>
        <v>0.2</v>
      </c>
    </row>
    <row r="178" spans="1:12">
      <c r="A178">
        <v>177</v>
      </c>
      <c r="B178" s="1">
        <v>46204</v>
      </c>
      <c r="C178">
        <v>107</v>
      </c>
      <c r="D178">
        <v>3</v>
      </c>
      <c r="E178">
        <v>6000</v>
      </c>
      <c r="F178">
        <v>1200</v>
      </c>
      <c r="G178" t="str">
        <f>VLOOKUP(C178, Sheet2!$A$2:$D$9, 2, FALSE)</f>
        <v>Sneakers</v>
      </c>
      <c r="H178" t="str">
        <f>VLOOKUP(C178, Sheet2!$A$2:$D$9, 3, FALSE)</f>
        <v>Footwear</v>
      </c>
      <c r="I178" t="str">
        <f>VLOOKUP(A185, Sheet3!$A$2:$D$201, 3, FALSE)</f>
        <v>Chennai</v>
      </c>
      <c r="J178" t="str">
        <f>VLOOKUP(A178, Sheet3!$A$2:$D$201, 4, FALSE)</f>
        <v>South</v>
      </c>
      <c r="K178" t="str">
        <f>VLOOKUP(A178, Sheet3!$A$2:$D$201, 2, FALSE)</f>
        <v>FM_Hyd</v>
      </c>
      <c r="L178" s="4">
        <f t="shared" si="2"/>
        <v>0.2</v>
      </c>
    </row>
    <row r="179" spans="1:12">
      <c r="A179">
        <v>178</v>
      </c>
      <c r="B179" s="1">
        <v>46235</v>
      </c>
      <c r="C179">
        <v>108</v>
      </c>
      <c r="D179">
        <v>4</v>
      </c>
      <c r="E179">
        <v>7000</v>
      </c>
      <c r="F179">
        <v>1400</v>
      </c>
      <c r="G179" t="str">
        <f>VLOOKUP(C179, Sheet2!$A$2:$D$9, 2, FALSE)</f>
        <v>Hoodie</v>
      </c>
      <c r="H179" t="str">
        <f>VLOOKUP(C179, Sheet2!$A$2:$D$9, 3, FALSE)</f>
        <v>Clothing</v>
      </c>
      <c r="I179" t="str">
        <f>VLOOKUP(A186, Sheet3!$A$2:$D$201, 3, FALSE)</f>
        <v>Hyderabad</v>
      </c>
      <c r="J179" t="str">
        <f>VLOOKUP(A179, Sheet3!$A$2:$D$201, 4, FALSE)</f>
        <v>South</v>
      </c>
      <c r="K179" t="str">
        <f>VLOOKUP(A179, Sheet3!$A$2:$D$201, 2, FALSE)</f>
        <v>FM_Blr</v>
      </c>
      <c r="L179" s="4">
        <f t="shared" si="2"/>
        <v>0.2</v>
      </c>
    </row>
    <row r="180" spans="1:12">
      <c r="A180">
        <v>179</v>
      </c>
      <c r="B180" s="1">
        <v>46266</v>
      </c>
      <c r="C180">
        <v>101</v>
      </c>
      <c r="D180">
        <v>6</v>
      </c>
      <c r="E180">
        <v>6000</v>
      </c>
      <c r="F180">
        <v>1200</v>
      </c>
      <c r="G180" t="str">
        <f>VLOOKUP(C180, Sheet2!$A$2:$D$9, 2, FALSE)</f>
        <v>T-Shirt</v>
      </c>
      <c r="H180" t="str">
        <f>VLOOKUP(C180, Sheet2!$A$2:$D$9, 3, FALSE)</f>
        <v>Clothing</v>
      </c>
      <c r="I180" t="str">
        <f>VLOOKUP(A187, Sheet3!$A$2:$D$201, 3, FALSE)</f>
        <v>Bangalore</v>
      </c>
      <c r="J180" t="str">
        <f>VLOOKUP(A180, Sheet3!$A$2:$D$201, 4, FALSE)</f>
        <v>West</v>
      </c>
      <c r="K180" t="str">
        <f>VLOOKUP(A180, Sheet3!$A$2:$D$201, 2, FALSE)</f>
        <v>FM_Mum</v>
      </c>
      <c r="L180" s="4">
        <f t="shared" si="2"/>
        <v>0.2</v>
      </c>
    </row>
    <row r="181" spans="1:12">
      <c r="A181">
        <v>180</v>
      </c>
      <c r="B181" s="1">
        <v>46296</v>
      </c>
      <c r="C181">
        <v>102</v>
      </c>
      <c r="D181">
        <v>4</v>
      </c>
      <c r="E181">
        <v>8000</v>
      </c>
      <c r="F181">
        <v>1600</v>
      </c>
      <c r="G181" t="str">
        <f>VLOOKUP(C181, Sheet2!$A$2:$D$9, 2, FALSE)</f>
        <v>Jeans</v>
      </c>
      <c r="H181" t="str">
        <f>VLOOKUP(C181, Sheet2!$A$2:$D$9, 3, FALSE)</f>
        <v>Clothing</v>
      </c>
      <c r="I181" t="str">
        <f>VLOOKUP(A188, Sheet3!$A$2:$D$201, 3, FALSE)</f>
        <v>Mumbai</v>
      </c>
      <c r="J181" t="str">
        <f>VLOOKUP(A181, Sheet3!$A$2:$D$201, 4, FALSE)</f>
        <v>West</v>
      </c>
      <c r="K181" t="str">
        <f>VLOOKUP(A181, Sheet3!$A$2:$D$201, 2, FALSE)</f>
        <v>FM_Pune</v>
      </c>
      <c r="L181" s="4">
        <f t="shared" si="2"/>
        <v>0.2</v>
      </c>
    </row>
    <row r="182" spans="1:12">
      <c r="A182">
        <v>181</v>
      </c>
      <c r="B182" s="1">
        <v>46023</v>
      </c>
      <c r="C182">
        <v>101</v>
      </c>
      <c r="D182">
        <v>5</v>
      </c>
      <c r="E182">
        <v>5000</v>
      </c>
      <c r="F182">
        <v>1000</v>
      </c>
      <c r="G182" t="str">
        <f>VLOOKUP(C182, Sheet2!$A$2:$D$9, 2, FALSE)</f>
        <v>T-Shirt</v>
      </c>
      <c r="H182" t="str">
        <f>VLOOKUP(C182, Sheet2!$A$2:$D$9, 3, FALSE)</f>
        <v>Clothing</v>
      </c>
      <c r="I182" t="str">
        <f>VLOOKUP(A189, Sheet3!$A$2:$D$201, 3, FALSE)</f>
        <v>Pune</v>
      </c>
      <c r="J182" t="str">
        <f>VLOOKUP(A182, Sheet3!$A$2:$D$201, 4, FALSE)</f>
        <v>North</v>
      </c>
      <c r="K182" t="str">
        <f>VLOOKUP(A182, Sheet3!$A$2:$D$201, 2, FALSE)</f>
        <v>FM_Del</v>
      </c>
      <c r="L182" s="4">
        <f t="shared" si="2"/>
        <v>0.2</v>
      </c>
    </row>
    <row r="183" spans="1:12">
      <c r="A183">
        <v>182</v>
      </c>
      <c r="B183" s="1">
        <v>46054</v>
      </c>
      <c r="C183">
        <v>102</v>
      </c>
      <c r="D183">
        <v>3</v>
      </c>
      <c r="E183">
        <v>6000</v>
      </c>
      <c r="F183">
        <v>1200</v>
      </c>
      <c r="G183" t="str">
        <f>VLOOKUP(C183, Sheet2!$A$2:$D$9, 2, FALSE)</f>
        <v>Jeans</v>
      </c>
      <c r="H183" t="str">
        <f>VLOOKUP(C183, Sheet2!$A$2:$D$9, 3, FALSE)</f>
        <v>Clothing</v>
      </c>
      <c r="I183" t="str">
        <f>VLOOKUP(A190, Sheet3!$A$2:$D$201, 3, FALSE)</f>
        <v>Delhi</v>
      </c>
      <c r="J183" t="str">
        <f>VLOOKUP(A183, Sheet3!$A$2:$D$201, 4, FALSE)</f>
        <v>North</v>
      </c>
      <c r="K183" t="str">
        <f>VLOOKUP(A183, Sheet3!$A$2:$D$201, 2, FALSE)</f>
        <v>FM_Jaipur</v>
      </c>
      <c r="L183" s="4">
        <f t="shared" si="2"/>
        <v>0.2</v>
      </c>
    </row>
    <row r="184" spans="1:12">
      <c r="A184">
        <v>183</v>
      </c>
      <c r="B184" s="1">
        <v>46082</v>
      </c>
      <c r="C184">
        <v>103</v>
      </c>
      <c r="D184">
        <v>4</v>
      </c>
      <c r="E184">
        <v>8000</v>
      </c>
      <c r="F184">
        <v>1600</v>
      </c>
      <c r="G184" t="str">
        <f>VLOOKUP(C184, Sheet2!$A$2:$D$9, 2, FALSE)</f>
        <v>Shoes</v>
      </c>
      <c r="H184" t="str">
        <f>VLOOKUP(C184, Sheet2!$A$2:$D$9, 3, FALSE)</f>
        <v>Footwear</v>
      </c>
      <c r="I184" t="str">
        <f>VLOOKUP(A191, Sheet3!$A$2:$D$201, 3, FALSE)</f>
        <v>Jaipur</v>
      </c>
      <c r="J184" t="str">
        <f>VLOOKUP(A184, Sheet3!$A$2:$D$201, 4, FALSE)</f>
        <v>East</v>
      </c>
      <c r="K184" t="str">
        <f>VLOOKUP(A184, Sheet3!$A$2:$D$201, 2, FALSE)</f>
        <v>FM_Kol</v>
      </c>
      <c r="L184" s="4">
        <f t="shared" si="2"/>
        <v>0.2</v>
      </c>
    </row>
    <row r="185" spans="1:12">
      <c r="A185">
        <v>184</v>
      </c>
      <c r="B185" s="1">
        <v>46113</v>
      </c>
      <c r="C185">
        <v>104</v>
      </c>
      <c r="D185">
        <v>2</v>
      </c>
      <c r="E185">
        <v>4000</v>
      </c>
      <c r="F185">
        <v>800</v>
      </c>
      <c r="G185" t="str">
        <f>VLOOKUP(C185, Sheet2!$A$2:$D$9, 2, FALSE)</f>
        <v>Jacket</v>
      </c>
      <c r="H185" t="str">
        <f>VLOOKUP(C185, Sheet2!$A$2:$D$9, 3, FALSE)</f>
        <v>Clothing</v>
      </c>
      <c r="I185" t="str">
        <f>VLOOKUP(A192, Sheet3!$A$2:$D$201, 3, FALSE)</f>
        <v>Kolkata</v>
      </c>
      <c r="J185" t="str">
        <f>VLOOKUP(A185, Sheet3!$A$2:$D$201, 4, FALSE)</f>
        <v>South</v>
      </c>
      <c r="K185" t="str">
        <f>VLOOKUP(A185, Sheet3!$A$2:$D$201, 2, FALSE)</f>
        <v>FM_Chennai</v>
      </c>
      <c r="L185" s="4">
        <f t="shared" si="2"/>
        <v>0.2</v>
      </c>
    </row>
    <row r="186" spans="1:12">
      <c r="A186">
        <v>185</v>
      </c>
      <c r="B186" s="1">
        <v>46143</v>
      </c>
      <c r="C186">
        <v>105</v>
      </c>
      <c r="D186">
        <v>6</v>
      </c>
      <c r="E186">
        <v>9000</v>
      </c>
      <c r="F186">
        <v>1800</v>
      </c>
      <c r="G186" t="str">
        <f>VLOOKUP(C186, Sheet2!$A$2:$D$9, 2, FALSE)</f>
        <v>Sandals</v>
      </c>
      <c r="H186" t="str">
        <f>VLOOKUP(C186, Sheet2!$A$2:$D$9, 3, FALSE)</f>
        <v>Footwear</v>
      </c>
      <c r="I186" t="str">
        <f>VLOOKUP(A193, Sheet3!$A$2:$D$201, 3, FALSE)</f>
        <v>Chennai</v>
      </c>
      <c r="J186" t="str">
        <f>VLOOKUP(A186, Sheet3!$A$2:$D$201, 4, FALSE)</f>
        <v>South</v>
      </c>
      <c r="K186" t="str">
        <f>VLOOKUP(A186, Sheet3!$A$2:$D$201, 2, FALSE)</f>
        <v>FM_Hyd</v>
      </c>
      <c r="L186" s="4">
        <f t="shared" si="2"/>
        <v>0.2</v>
      </c>
    </row>
    <row r="187" spans="1:12">
      <c r="A187">
        <v>186</v>
      </c>
      <c r="B187" s="1">
        <v>46174</v>
      </c>
      <c r="C187">
        <v>106</v>
      </c>
      <c r="D187">
        <v>5</v>
      </c>
      <c r="E187">
        <v>7500</v>
      </c>
      <c r="F187">
        <v>1500</v>
      </c>
      <c r="G187" t="str">
        <f>VLOOKUP(C187, Sheet2!$A$2:$D$9, 2, FALSE)</f>
        <v>Shirt</v>
      </c>
      <c r="H187" t="str">
        <f>VLOOKUP(C187, Sheet2!$A$2:$D$9, 3, FALSE)</f>
        <v>Clothing</v>
      </c>
      <c r="I187" t="str">
        <f>VLOOKUP(A194, Sheet3!$A$2:$D$201, 3, FALSE)</f>
        <v>Hyderabad</v>
      </c>
      <c r="J187" t="str">
        <f>VLOOKUP(A187, Sheet3!$A$2:$D$201, 4, FALSE)</f>
        <v>South</v>
      </c>
      <c r="K187" t="str">
        <f>VLOOKUP(A187, Sheet3!$A$2:$D$201, 2, FALSE)</f>
        <v>FM_Blr</v>
      </c>
      <c r="L187" s="4">
        <f t="shared" si="2"/>
        <v>0.2</v>
      </c>
    </row>
    <row r="188" spans="1:12">
      <c r="A188">
        <v>187</v>
      </c>
      <c r="B188" s="1">
        <v>46204</v>
      </c>
      <c r="C188">
        <v>107</v>
      </c>
      <c r="D188">
        <v>3</v>
      </c>
      <c r="E188">
        <v>6000</v>
      </c>
      <c r="F188">
        <v>1200</v>
      </c>
      <c r="G188" t="str">
        <f>VLOOKUP(C188, Sheet2!$A$2:$D$9, 2, FALSE)</f>
        <v>Sneakers</v>
      </c>
      <c r="H188" t="str">
        <f>VLOOKUP(C188, Sheet2!$A$2:$D$9, 3, FALSE)</f>
        <v>Footwear</v>
      </c>
      <c r="I188" t="str">
        <f>VLOOKUP(A195, Sheet3!$A$2:$D$201, 3, FALSE)</f>
        <v>Bangalore</v>
      </c>
      <c r="J188" t="str">
        <f>VLOOKUP(A188, Sheet3!$A$2:$D$201, 4, FALSE)</f>
        <v>West</v>
      </c>
      <c r="K188" t="str">
        <f>VLOOKUP(A188, Sheet3!$A$2:$D$201, 2, FALSE)</f>
        <v>FM_Mum</v>
      </c>
      <c r="L188" s="4">
        <f t="shared" si="2"/>
        <v>0.2</v>
      </c>
    </row>
    <row r="189" spans="1:12">
      <c r="A189">
        <v>188</v>
      </c>
      <c r="B189" s="1">
        <v>46235</v>
      </c>
      <c r="C189">
        <v>108</v>
      </c>
      <c r="D189">
        <v>4</v>
      </c>
      <c r="E189">
        <v>7000</v>
      </c>
      <c r="F189">
        <v>1400</v>
      </c>
      <c r="G189" t="str">
        <f>VLOOKUP(C189, Sheet2!$A$2:$D$9, 2, FALSE)</f>
        <v>Hoodie</v>
      </c>
      <c r="H189" t="str">
        <f>VLOOKUP(C189, Sheet2!$A$2:$D$9, 3, FALSE)</f>
        <v>Clothing</v>
      </c>
      <c r="I189" t="str">
        <f>VLOOKUP(A196, Sheet3!$A$2:$D$201, 3, FALSE)</f>
        <v>Mumbai</v>
      </c>
      <c r="J189" t="str">
        <f>VLOOKUP(A189, Sheet3!$A$2:$D$201, 4, FALSE)</f>
        <v>West</v>
      </c>
      <c r="K189" t="str">
        <f>VLOOKUP(A189, Sheet3!$A$2:$D$201, 2, FALSE)</f>
        <v>FM_Pune</v>
      </c>
      <c r="L189" s="4">
        <f t="shared" si="2"/>
        <v>0.2</v>
      </c>
    </row>
    <row r="190" spans="1:12">
      <c r="A190">
        <v>189</v>
      </c>
      <c r="B190" s="1">
        <v>46266</v>
      </c>
      <c r="C190">
        <v>101</v>
      </c>
      <c r="D190">
        <v>6</v>
      </c>
      <c r="E190">
        <v>6000</v>
      </c>
      <c r="F190">
        <v>1200</v>
      </c>
      <c r="G190" t="str">
        <f>VLOOKUP(C190, Sheet2!$A$2:$D$9, 2, FALSE)</f>
        <v>T-Shirt</v>
      </c>
      <c r="H190" t="str">
        <f>VLOOKUP(C190, Sheet2!$A$2:$D$9, 3, FALSE)</f>
        <v>Clothing</v>
      </c>
      <c r="I190" t="str">
        <f>VLOOKUP(A197, Sheet3!$A$2:$D$201, 3, FALSE)</f>
        <v>Pune</v>
      </c>
      <c r="J190" t="str">
        <f>VLOOKUP(A190, Sheet3!$A$2:$D$201, 4, FALSE)</f>
        <v>North</v>
      </c>
      <c r="K190" t="str">
        <f>VLOOKUP(A190, Sheet3!$A$2:$D$201, 2, FALSE)</f>
        <v>FM_Del</v>
      </c>
      <c r="L190" s="4">
        <f t="shared" si="2"/>
        <v>0.2</v>
      </c>
    </row>
    <row r="191" spans="1:12">
      <c r="A191">
        <v>190</v>
      </c>
      <c r="B191" s="1">
        <v>46296</v>
      </c>
      <c r="C191">
        <v>102</v>
      </c>
      <c r="D191">
        <v>4</v>
      </c>
      <c r="E191">
        <v>8000</v>
      </c>
      <c r="F191">
        <v>1600</v>
      </c>
      <c r="G191" t="str">
        <f>VLOOKUP(C191, Sheet2!$A$2:$D$9, 2, FALSE)</f>
        <v>Jeans</v>
      </c>
      <c r="H191" t="str">
        <f>VLOOKUP(C191, Sheet2!$A$2:$D$9, 3, FALSE)</f>
        <v>Clothing</v>
      </c>
      <c r="I191" t="str">
        <f>VLOOKUP(A198, Sheet3!$A$2:$D$201, 3, FALSE)</f>
        <v>Delhi</v>
      </c>
      <c r="J191" t="str">
        <f>VLOOKUP(A191, Sheet3!$A$2:$D$201, 4, FALSE)</f>
        <v>North</v>
      </c>
      <c r="K191" t="str">
        <f>VLOOKUP(A191, Sheet3!$A$2:$D$201, 2, FALSE)</f>
        <v>FM_Jaipur</v>
      </c>
      <c r="L191" s="4">
        <f t="shared" si="2"/>
        <v>0.2</v>
      </c>
    </row>
    <row r="192" spans="1:12">
      <c r="A192">
        <v>191</v>
      </c>
      <c r="B192" s="1">
        <v>46023</v>
      </c>
      <c r="C192">
        <v>101</v>
      </c>
      <c r="D192">
        <v>5</v>
      </c>
      <c r="E192">
        <v>5000</v>
      </c>
      <c r="F192">
        <v>1000</v>
      </c>
      <c r="G192" t="str">
        <f>VLOOKUP(C192, Sheet2!$A$2:$D$9, 2, FALSE)</f>
        <v>T-Shirt</v>
      </c>
      <c r="H192" t="str">
        <f>VLOOKUP(C192, Sheet2!$A$2:$D$9, 3, FALSE)</f>
        <v>Clothing</v>
      </c>
      <c r="I192" t="str">
        <f>VLOOKUP(A199, Sheet3!$A$2:$D$201, 3, FALSE)</f>
        <v>Jaipur</v>
      </c>
      <c r="J192" t="str">
        <f>VLOOKUP(A192, Sheet3!$A$2:$D$201, 4, FALSE)</f>
        <v>East</v>
      </c>
      <c r="K192" t="str">
        <f>VLOOKUP(A192, Sheet3!$A$2:$D$201, 2, FALSE)</f>
        <v>FM_Kol</v>
      </c>
      <c r="L192" s="4">
        <f t="shared" si="2"/>
        <v>0.2</v>
      </c>
    </row>
    <row r="193" spans="1:12">
      <c r="A193">
        <v>192</v>
      </c>
      <c r="B193" s="1">
        <v>46054</v>
      </c>
      <c r="C193">
        <v>102</v>
      </c>
      <c r="D193">
        <v>3</v>
      </c>
      <c r="E193">
        <v>6000</v>
      </c>
      <c r="F193">
        <v>1200</v>
      </c>
      <c r="G193" t="str">
        <f>VLOOKUP(C193, Sheet2!$A$2:$D$9, 2, FALSE)</f>
        <v>Jeans</v>
      </c>
      <c r="H193" t="str">
        <f>VLOOKUP(C193, Sheet2!$A$2:$D$9, 3, FALSE)</f>
        <v>Clothing</v>
      </c>
      <c r="I193" t="str">
        <f>VLOOKUP(A200, Sheet3!$A$2:$D$201, 3, FALSE)</f>
        <v>Kolkata</v>
      </c>
      <c r="J193" t="str">
        <f>VLOOKUP(A193, Sheet3!$A$2:$D$201, 4, FALSE)</f>
        <v>South</v>
      </c>
      <c r="K193" t="str">
        <f>VLOOKUP(A193, Sheet3!$A$2:$D$201, 2, FALSE)</f>
        <v>FM_Chennai</v>
      </c>
      <c r="L193" s="4">
        <f t="shared" si="2"/>
        <v>0.2</v>
      </c>
    </row>
    <row r="194" spans="1:12">
      <c r="A194">
        <v>193</v>
      </c>
      <c r="B194" s="1">
        <v>46082</v>
      </c>
      <c r="C194">
        <v>103</v>
      </c>
      <c r="D194">
        <v>4</v>
      </c>
      <c r="E194">
        <v>8000</v>
      </c>
      <c r="F194">
        <v>1600</v>
      </c>
      <c r="G194" t="str">
        <f>VLOOKUP(C194, Sheet2!$A$2:$D$9, 2, FALSE)</f>
        <v>Shoes</v>
      </c>
      <c r="H194" t="str">
        <f>VLOOKUP(C194, Sheet2!$A$2:$D$9, 3, FALSE)</f>
        <v>Footwear</v>
      </c>
      <c r="I194" t="str">
        <f>VLOOKUP(A201, Sheet3!$A$2:$D$201, 3, FALSE)</f>
        <v>Chennai</v>
      </c>
      <c r="J194" t="str">
        <f>VLOOKUP(A194, Sheet3!$A$2:$D$201, 4, FALSE)</f>
        <v>South</v>
      </c>
      <c r="K194" t="str">
        <f>VLOOKUP(A194, Sheet3!$A$2:$D$201, 2, FALSE)</f>
        <v>FM_Hyd</v>
      </c>
      <c r="L194" s="4">
        <f t="shared" si="2"/>
        <v>0.2</v>
      </c>
    </row>
    <row r="195" spans="1:12">
      <c r="A195">
        <v>194</v>
      </c>
      <c r="B195" s="1">
        <v>46113</v>
      </c>
      <c r="C195">
        <v>104</v>
      </c>
      <c r="D195">
        <v>2</v>
      </c>
      <c r="E195">
        <v>4000</v>
      </c>
      <c r="F195">
        <v>800</v>
      </c>
      <c r="G195" t="str">
        <f>VLOOKUP(C195, Sheet2!$A$2:$D$9, 2, FALSE)</f>
        <v>Jacket</v>
      </c>
      <c r="H195" t="str">
        <f>VLOOKUP(C195, Sheet2!$A$2:$D$9, 3, FALSE)</f>
        <v>Clothing</v>
      </c>
      <c r="I195" t="s">
        <v>35</v>
      </c>
      <c r="J195" t="str">
        <f>VLOOKUP(A195, Sheet3!$A$2:$D$201, 4, FALSE)</f>
        <v>South</v>
      </c>
      <c r="K195" t="str">
        <f>VLOOKUP(A195, Sheet3!$A$2:$D$201, 2, FALSE)</f>
        <v>FM_Blr</v>
      </c>
      <c r="L195" s="4">
        <f t="shared" ref="L195:L201" si="3">F195/E195</f>
        <v>0.2</v>
      </c>
    </row>
    <row r="196" spans="1:12">
      <c r="A196">
        <v>195</v>
      </c>
      <c r="B196" s="1">
        <v>46143</v>
      </c>
      <c r="C196">
        <v>105</v>
      </c>
      <c r="D196">
        <v>6</v>
      </c>
      <c r="E196">
        <v>9000</v>
      </c>
      <c r="F196">
        <v>1800</v>
      </c>
      <c r="G196" t="str">
        <f>VLOOKUP(C196, Sheet2!$A$2:$D$9, 2, FALSE)</f>
        <v>Sandals</v>
      </c>
      <c r="H196" t="str">
        <f>VLOOKUP(C196, Sheet2!$A$2:$D$9, 3, FALSE)</f>
        <v>Footwear</v>
      </c>
      <c r="I196" t="s">
        <v>36</v>
      </c>
      <c r="J196" t="str">
        <f>VLOOKUP(A196, Sheet3!$A$2:$D$201, 4, FALSE)</f>
        <v>West</v>
      </c>
      <c r="K196" t="str">
        <f>VLOOKUP(A196, Sheet3!$A$2:$D$201, 2, FALSE)</f>
        <v>FM_Mum</v>
      </c>
      <c r="L196" s="4">
        <f t="shared" si="3"/>
        <v>0.2</v>
      </c>
    </row>
    <row r="197" spans="1:12">
      <c r="A197">
        <v>196</v>
      </c>
      <c r="B197" s="1">
        <v>46174</v>
      </c>
      <c r="C197">
        <v>106</v>
      </c>
      <c r="D197">
        <v>5</v>
      </c>
      <c r="E197">
        <v>7500</v>
      </c>
      <c r="F197">
        <v>1500</v>
      </c>
      <c r="G197" t="str">
        <f>VLOOKUP(C197, Sheet2!$A$2:$D$9, 2, FALSE)</f>
        <v>Shirt</v>
      </c>
      <c r="H197" t="str">
        <f>VLOOKUP(C197, Sheet2!$A$2:$D$9, 3, FALSE)</f>
        <v>Clothing</v>
      </c>
      <c r="I197" t="s">
        <v>37</v>
      </c>
      <c r="J197" t="str">
        <f>VLOOKUP(A197, Sheet3!$A$2:$D$201, 4, FALSE)</f>
        <v>West</v>
      </c>
      <c r="K197" t="str">
        <f>VLOOKUP(A197, Sheet3!$A$2:$D$201, 2, FALSE)</f>
        <v>FM_Pune</v>
      </c>
      <c r="L197" s="4">
        <f t="shared" si="3"/>
        <v>0.2</v>
      </c>
    </row>
    <row r="198" spans="1:12">
      <c r="A198">
        <v>197</v>
      </c>
      <c r="B198" s="1">
        <v>46204</v>
      </c>
      <c r="C198">
        <v>107</v>
      </c>
      <c r="D198">
        <v>3</v>
      </c>
      <c r="E198">
        <v>6000</v>
      </c>
      <c r="F198">
        <v>1200</v>
      </c>
      <c r="G198" t="str">
        <f>VLOOKUP(C198, Sheet2!$A$2:$D$9, 2, FALSE)</f>
        <v>Sneakers</v>
      </c>
      <c r="H198" t="str">
        <f>VLOOKUP(C198, Sheet2!$A$2:$D$9, 3, FALSE)</f>
        <v>Footwear</v>
      </c>
      <c r="I198" t="s">
        <v>38</v>
      </c>
      <c r="J198" t="str">
        <f>VLOOKUP(A198, Sheet3!$A$2:$D$201, 4, FALSE)</f>
        <v>North</v>
      </c>
      <c r="K198" t="str">
        <f>VLOOKUP(A198, Sheet3!$A$2:$D$201, 2, FALSE)</f>
        <v>FM_Del</v>
      </c>
      <c r="L198" s="4">
        <f t="shared" si="3"/>
        <v>0.2</v>
      </c>
    </row>
    <row r="199" spans="1:12">
      <c r="A199">
        <v>198</v>
      </c>
      <c r="B199" s="1">
        <v>46235</v>
      </c>
      <c r="C199">
        <v>108</v>
      </c>
      <c r="D199">
        <v>4</v>
      </c>
      <c r="E199">
        <v>7000</v>
      </c>
      <c r="F199">
        <v>1400</v>
      </c>
      <c r="G199" t="str">
        <f>VLOOKUP(C199, Sheet2!$A$2:$D$9, 2, FALSE)</f>
        <v>Hoodie</v>
      </c>
      <c r="H199" t="str">
        <f>VLOOKUP(C199, Sheet2!$A$2:$D$9, 3, FALSE)</f>
        <v>Clothing</v>
      </c>
      <c r="I199" t="s">
        <v>39</v>
      </c>
      <c r="J199" t="str">
        <f>VLOOKUP(A199, Sheet3!$A$2:$D$201, 4, FALSE)</f>
        <v>North</v>
      </c>
      <c r="K199" t="str">
        <f>VLOOKUP(A199, Sheet3!$A$2:$D$201, 2, FALSE)</f>
        <v>FM_Jaipur</v>
      </c>
      <c r="L199" s="4">
        <f t="shared" si="3"/>
        <v>0.2</v>
      </c>
    </row>
    <row r="200" spans="1:12">
      <c r="A200">
        <v>199</v>
      </c>
      <c r="B200" s="1">
        <v>46266</v>
      </c>
      <c r="C200">
        <v>101</v>
      </c>
      <c r="D200">
        <v>6</v>
      </c>
      <c r="E200">
        <v>6000</v>
      </c>
      <c r="F200">
        <v>1200</v>
      </c>
      <c r="G200" t="str">
        <f>VLOOKUP(C200, Sheet2!$A$2:$D$9, 2, FALSE)</f>
        <v>T-Shirt</v>
      </c>
      <c r="H200" t="str">
        <f>VLOOKUP(C200, Sheet2!$A$2:$D$9, 3, FALSE)</f>
        <v>Clothing</v>
      </c>
      <c r="I200" t="s">
        <v>40</v>
      </c>
      <c r="J200" t="str">
        <f>VLOOKUP(A200, Sheet3!$A$2:$D$201, 4, FALSE)</f>
        <v>East</v>
      </c>
      <c r="K200" t="str">
        <f>VLOOKUP(A200, Sheet3!$A$2:$D$201, 2, FALSE)</f>
        <v>FM_Kol</v>
      </c>
      <c r="L200" s="4">
        <f t="shared" si="3"/>
        <v>0.2</v>
      </c>
    </row>
    <row r="201" spans="1:12">
      <c r="A201">
        <v>200</v>
      </c>
      <c r="B201" s="1">
        <v>46296</v>
      </c>
      <c r="C201">
        <v>102</v>
      </c>
      <c r="D201">
        <v>4</v>
      </c>
      <c r="E201">
        <v>8000</v>
      </c>
      <c r="F201">
        <v>1600</v>
      </c>
      <c r="G201" t="str">
        <f>VLOOKUP(C201, Sheet2!$A$2:$D$9, 2, FALSE)</f>
        <v>Jeans</v>
      </c>
      <c r="H201" t="str">
        <f>VLOOKUP(C201, Sheet2!$A$2:$D$9, 3, FALSE)</f>
        <v>Clothing</v>
      </c>
      <c r="I201" t="s">
        <v>41</v>
      </c>
      <c r="J201" t="str">
        <f>VLOOKUP(A201, Sheet3!$A$2:$D$201, 4, FALSE)</f>
        <v>South</v>
      </c>
      <c r="K201" t="str">
        <f>VLOOKUP(A201, Sheet3!$A$2:$D$201, 2, FALSE)</f>
        <v>FM_Chennai</v>
      </c>
      <c r="L201" s="4">
        <f t="shared" si="3"/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11D8-9AD7-48EA-B4BC-62E9004A239B}">
  <dimension ref="A1:D201"/>
  <sheetViews>
    <sheetView workbookViewId="0">
      <selection activeCell="F196" sqref="F196"/>
    </sheetView>
  </sheetViews>
  <sheetFormatPr defaultRowHeight="15"/>
  <cols>
    <col min="1" max="1" width="10.5703125" bestFit="1" customWidth="1"/>
    <col min="2" max="2" width="14" bestFit="1" customWidth="1"/>
  </cols>
  <sheetData>
    <row r="1" spans="1:4">
      <c r="A1" t="s">
        <v>28</v>
      </c>
      <c r="B1" t="s">
        <v>32</v>
      </c>
      <c r="C1" t="s">
        <v>9</v>
      </c>
      <c r="D1" t="s">
        <v>42</v>
      </c>
    </row>
    <row r="2" spans="1:4">
      <c r="A2">
        <v>101</v>
      </c>
      <c r="B2" t="s">
        <v>43</v>
      </c>
      <c r="C2" t="s">
        <v>12</v>
      </c>
      <c r="D2" t="s">
        <v>44</v>
      </c>
    </row>
    <row r="3" spans="1:4">
      <c r="A3">
        <v>102</v>
      </c>
      <c r="B3" t="s">
        <v>45</v>
      </c>
      <c r="C3" t="s">
        <v>12</v>
      </c>
      <c r="D3" t="s">
        <v>46</v>
      </c>
    </row>
    <row r="4" spans="1:4">
      <c r="A4">
        <v>103</v>
      </c>
      <c r="B4" t="s">
        <v>47</v>
      </c>
      <c r="C4" t="s">
        <v>15</v>
      </c>
      <c r="D4" t="s">
        <v>48</v>
      </c>
    </row>
    <row r="5" spans="1:4">
      <c r="A5">
        <v>104</v>
      </c>
      <c r="B5" t="s">
        <v>49</v>
      </c>
      <c r="C5" t="s">
        <v>12</v>
      </c>
      <c r="D5" t="s">
        <v>50</v>
      </c>
    </row>
    <row r="6" spans="1:4">
      <c r="A6">
        <v>105</v>
      </c>
      <c r="B6" t="s">
        <v>51</v>
      </c>
      <c r="C6" t="s">
        <v>15</v>
      </c>
      <c r="D6" t="s">
        <v>52</v>
      </c>
    </row>
    <row r="7" spans="1:4">
      <c r="A7">
        <v>106</v>
      </c>
      <c r="B7" t="s">
        <v>53</v>
      </c>
      <c r="C7" t="s">
        <v>12</v>
      </c>
      <c r="D7" t="s">
        <v>54</v>
      </c>
    </row>
    <row r="8" spans="1:4">
      <c r="A8">
        <v>107</v>
      </c>
      <c r="B8" t="s">
        <v>55</v>
      </c>
      <c r="C8" t="s">
        <v>15</v>
      </c>
      <c r="D8" t="s">
        <v>44</v>
      </c>
    </row>
    <row r="9" spans="1:4">
      <c r="A9">
        <v>108</v>
      </c>
      <c r="B9" t="s">
        <v>56</v>
      </c>
      <c r="C9" t="s">
        <v>12</v>
      </c>
      <c r="D9" t="s">
        <v>57</v>
      </c>
    </row>
    <row r="10" spans="1:4">
      <c r="A10">
        <v>109</v>
      </c>
      <c r="B10" t="s">
        <v>43</v>
      </c>
      <c r="C10" t="s">
        <v>12</v>
      </c>
      <c r="D10" t="s">
        <v>44</v>
      </c>
    </row>
    <row r="11" spans="1:4">
      <c r="A11">
        <v>110</v>
      </c>
      <c r="B11" t="s">
        <v>45</v>
      </c>
      <c r="C11" t="s">
        <v>12</v>
      </c>
      <c r="D11" t="s">
        <v>46</v>
      </c>
    </row>
    <row r="12" spans="1:4">
      <c r="A12">
        <v>111</v>
      </c>
      <c r="B12" t="s">
        <v>47</v>
      </c>
      <c r="C12" t="s">
        <v>15</v>
      </c>
      <c r="D12" t="s">
        <v>48</v>
      </c>
    </row>
    <row r="13" spans="1:4">
      <c r="A13">
        <v>112</v>
      </c>
      <c r="B13" t="s">
        <v>49</v>
      </c>
      <c r="C13" t="s">
        <v>12</v>
      </c>
      <c r="D13" t="s">
        <v>50</v>
      </c>
    </row>
    <row r="14" spans="1:4">
      <c r="A14">
        <v>113</v>
      </c>
      <c r="B14" t="s">
        <v>51</v>
      </c>
      <c r="C14" t="s">
        <v>15</v>
      </c>
      <c r="D14" t="s">
        <v>52</v>
      </c>
    </row>
    <row r="15" spans="1:4">
      <c r="A15">
        <v>114</v>
      </c>
      <c r="B15" t="s">
        <v>53</v>
      </c>
      <c r="C15" t="s">
        <v>12</v>
      </c>
      <c r="D15" t="s">
        <v>54</v>
      </c>
    </row>
    <row r="16" spans="1:4">
      <c r="A16">
        <v>115</v>
      </c>
      <c r="B16" t="s">
        <v>55</v>
      </c>
      <c r="C16" t="s">
        <v>15</v>
      </c>
      <c r="D16" t="s">
        <v>44</v>
      </c>
    </row>
    <row r="17" spans="1:4">
      <c r="A17">
        <v>116</v>
      </c>
      <c r="B17" t="s">
        <v>56</v>
      </c>
      <c r="C17" t="s">
        <v>12</v>
      </c>
      <c r="D17" t="s">
        <v>57</v>
      </c>
    </row>
    <row r="18" spans="1:4">
      <c r="A18">
        <v>117</v>
      </c>
      <c r="B18" t="s">
        <v>43</v>
      </c>
      <c r="C18" t="s">
        <v>12</v>
      </c>
      <c r="D18" t="s">
        <v>44</v>
      </c>
    </row>
    <row r="19" spans="1:4">
      <c r="A19">
        <v>118</v>
      </c>
      <c r="B19" t="s">
        <v>45</v>
      </c>
      <c r="C19" t="s">
        <v>12</v>
      </c>
      <c r="D19" t="s">
        <v>46</v>
      </c>
    </row>
    <row r="20" spans="1:4">
      <c r="A20">
        <v>119</v>
      </c>
      <c r="B20" t="s">
        <v>47</v>
      </c>
      <c r="C20" t="s">
        <v>15</v>
      </c>
      <c r="D20" t="s">
        <v>48</v>
      </c>
    </row>
    <row r="21" spans="1:4">
      <c r="A21">
        <v>120</v>
      </c>
      <c r="B21" t="s">
        <v>49</v>
      </c>
      <c r="C21" t="s">
        <v>12</v>
      </c>
      <c r="D21" t="s">
        <v>50</v>
      </c>
    </row>
    <row r="22" spans="1:4">
      <c r="A22">
        <v>121</v>
      </c>
      <c r="B22" t="s">
        <v>51</v>
      </c>
      <c r="C22" t="s">
        <v>15</v>
      </c>
      <c r="D22" t="s">
        <v>52</v>
      </c>
    </row>
    <row r="23" spans="1:4">
      <c r="A23">
        <v>122</v>
      </c>
      <c r="B23" t="s">
        <v>53</v>
      </c>
      <c r="C23" t="s">
        <v>12</v>
      </c>
      <c r="D23" t="s">
        <v>54</v>
      </c>
    </row>
    <row r="24" spans="1:4">
      <c r="A24">
        <v>123</v>
      </c>
      <c r="B24" t="s">
        <v>55</v>
      </c>
      <c r="C24" t="s">
        <v>15</v>
      </c>
      <c r="D24" t="s">
        <v>44</v>
      </c>
    </row>
    <row r="25" spans="1:4">
      <c r="A25">
        <v>124</v>
      </c>
      <c r="B25" t="s">
        <v>56</v>
      </c>
      <c r="C25" t="s">
        <v>12</v>
      </c>
      <c r="D25" t="s">
        <v>57</v>
      </c>
    </row>
    <row r="26" spans="1:4">
      <c r="A26">
        <v>125</v>
      </c>
      <c r="B26" t="s">
        <v>43</v>
      </c>
      <c r="C26" t="s">
        <v>12</v>
      </c>
      <c r="D26" t="s">
        <v>44</v>
      </c>
    </row>
    <row r="27" spans="1:4">
      <c r="A27">
        <v>126</v>
      </c>
      <c r="B27" t="s">
        <v>45</v>
      </c>
      <c r="C27" t="s">
        <v>12</v>
      </c>
      <c r="D27" t="s">
        <v>46</v>
      </c>
    </row>
    <row r="28" spans="1:4">
      <c r="A28">
        <v>127</v>
      </c>
      <c r="B28" t="s">
        <v>47</v>
      </c>
      <c r="C28" t="s">
        <v>15</v>
      </c>
      <c r="D28" t="s">
        <v>48</v>
      </c>
    </row>
    <row r="29" spans="1:4">
      <c r="A29">
        <v>128</v>
      </c>
      <c r="B29" t="s">
        <v>49</v>
      </c>
      <c r="C29" t="s">
        <v>12</v>
      </c>
      <c r="D29" t="s">
        <v>50</v>
      </c>
    </row>
    <row r="30" spans="1:4">
      <c r="A30">
        <v>129</v>
      </c>
      <c r="B30" t="s">
        <v>51</v>
      </c>
      <c r="C30" t="s">
        <v>15</v>
      </c>
      <c r="D30" t="s">
        <v>52</v>
      </c>
    </row>
    <row r="31" spans="1:4">
      <c r="A31">
        <v>130</v>
      </c>
      <c r="B31" t="s">
        <v>53</v>
      </c>
      <c r="C31" t="s">
        <v>12</v>
      </c>
      <c r="D31" t="s">
        <v>54</v>
      </c>
    </row>
    <row r="32" spans="1:4">
      <c r="A32">
        <v>131</v>
      </c>
      <c r="B32" t="s">
        <v>55</v>
      </c>
      <c r="C32" t="s">
        <v>15</v>
      </c>
      <c r="D32" t="s">
        <v>44</v>
      </c>
    </row>
    <row r="33" spans="1:4">
      <c r="A33">
        <v>132</v>
      </c>
      <c r="B33" t="s">
        <v>56</v>
      </c>
      <c r="C33" t="s">
        <v>12</v>
      </c>
      <c r="D33" t="s">
        <v>57</v>
      </c>
    </row>
    <row r="34" spans="1:4">
      <c r="A34">
        <v>133</v>
      </c>
      <c r="B34" t="s">
        <v>43</v>
      </c>
      <c r="C34" t="s">
        <v>12</v>
      </c>
      <c r="D34" t="s">
        <v>44</v>
      </c>
    </row>
    <row r="35" spans="1:4">
      <c r="A35">
        <v>134</v>
      </c>
      <c r="B35" t="s">
        <v>45</v>
      </c>
      <c r="C35" t="s">
        <v>12</v>
      </c>
      <c r="D35" t="s">
        <v>46</v>
      </c>
    </row>
    <row r="36" spans="1:4">
      <c r="A36">
        <v>135</v>
      </c>
      <c r="B36" t="s">
        <v>47</v>
      </c>
      <c r="C36" t="s">
        <v>15</v>
      </c>
      <c r="D36" t="s">
        <v>48</v>
      </c>
    </row>
    <row r="37" spans="1:4">
      <c r="A37">
        <v>136</v>
      </c>
      <c r="B37" t="s">
        <v>49</v>
      </c>
      <c r="C37" t="s">
        <v>12</v>
      </c>
      <c r="D37" t="s">
        <v>50</v>
      </c>
    </row>
    <row r="38" spans="1:4">
      <c r="A38">
        <v>137</v>
      </c>
      <c r="B38" t="s">
        <v>51</v>
      </c>
      <c r="C38" t="s">
        <v>15</v>
      </c>
      <c r="D38" t="s">
        <v>52</v>
      </c>
    </row>
    <row r="39" spans="1:4">
      <c r="A39">
        <v>138</v>
      </c>
      <c r="B39" t="s">
        <v>53</v>
      </c>
      <c r="C39" t="s">
        <v>12</v>
      </c>
      <c r="D39" t="s">
        <v>54</v>
      </c>
    </row>
    <row r="40" spans="1:4">
      <c r="A40">
        <v>139</v>
      </c>
      <c r="B40" t="s">
        <v>55</v>
      </c>
      <c r="C40" t="s">
        <v>15</v>
      </c>
      <c r="D40" t="s">
        <v>44</v>
      </c>
    </row>
    <row r="41" spans="1:4">
      <c r="A41">
        <v>140</v>
      </c>
      <c r="B41" t="s">
        <v>56</v>
      </c>
      <c r="C41" t="s">
        <v>12</v>
      </c>
      <c r="D41" t="s">
        <v>57</v>
      </c>
    </row>
    <row r="42" spans="1:4">
      <c r="A42">
        <v>141</v>
      </c>
      <c r="B42" t="s">
        <v>43</v>
      </c>
      <c r="C42" t="s">
        <v>12</v>
      </c>
      <c r="D42" t="s">
        <v>44</v>
      </c>
    </row>
    <row r="43" spans="1:4">
      <c r="A43">
        <v>142</v>
      </c>
      <c r="B43" t="s">
        <v>45</v>
      </c>
      <c r="C43" t="s">
        <v>12</v>
      </c>
      <c r="D43" t="s">
        <v>46</v>
      </c>
    </row>
    <row r="44" spans="1:4">
      <c r="A44">
        <v>143</v>
      </c>
      <c r="B44" t="s">
        <v>47</v>
      </c>
      <c r="C44" t="s">
        <v>15</v>
      </c>
      <c r="D44" t="s">
        <v>48</v>
      </c>
    </row>
    <row r="45" spans="1:4">
      <c r="A45">
        <v>144</v>
      </c>
      <c r="B45" t="s">
        <v>49</v>
      </c>
      <c r="C45" t="s">
        <v>12</v>
      </c>
      <c r="D45" t="s">
        <v>50</v>
      </c>
    </row>
    <row r="46" spans="1:4">
      <c r="A46">
        <v>145</v>
      </c>
      <c r="B46" t="s">
        <v>51</v>
      </c>
      <c r="C46" t="s">
        <v>15</v>
      </c>
      <c r="D46" t="s">
        <v>52</v>
      </c>
    </row>
    <row r="47" spans="1:4">
      <c r="A47">
        <v>146</v>
      </c>
      <c r="B47" t="s">
        <v>53</v>
      </c>
      <c r="C47" t="s">
        <v>12</v>
      </c>
      <c r="D47" t="s">
        <v>54</v>
      </c>
    </row>
    <row r="48" spans="1:4">
      <c r="A48">
        <v>147</v>
      </c>
      <c r="B48" t="s">
        <v>55</v>
      </c>
      <c r="C48" t="s">
        <v>15</v>
      </c>
      <c r="D48" t="s">
        <v>44</v>
      </c>
    </row>
    <row r="49" spans="1:4">
      <c r="A49">
        <v>148</v>
      </c>
      <c r="B49" t="s">
        <v>56</v>
      </c>
      <c r="C49" t="s">
        <v>12</v>
      </c>
      <c r="D49" t="s">
        <v>57</v>
      </c>
    </row>
    <row r="50" spans="1:4">
      <c r="A50">
        <v>149</v>
      </c>
      <c r="B50" t="s">
        <v>43</v>
      </c>
      <c r="C50" t="s">
        <v>12</v>
      </c>
      <c r="D50" t="s">
        <v>44</v>
      </c>
    </row>
    <row r="51" spans="1:4">
      <c r="A51">
        <v>150</v>
      </c>
      <c r="B51" t="s">
        <v>45</v>
      </c>
      <c r="C51" t="s">
        <v>12</v>
      </c>
      <c r="D51" t="s">
        <v>46</v>
      </c>
    </row>
    <row r="52" spans="1:4">
      <c r="A52">
        <v>151</v>
      </c>
      <c r="B52" t="s">
        <v>47</v>
      </c>
      <c r="C52" t="s">
        <v>15</v>
      </c>
      <c r="D52" t="s">
        <v>48</v>
      </c>
    </row>
    <row r="53" spans="1:4">
      <c r="A53">
        <v>152</v>
      </c>
      <c r="B53" t="s">
        <v>49</v>
      </c>
      <c r="C53" t="s">
        <v>12</v>
      </c>
      <c r="D53" t="s">
        <v>50</v>
      </c>
    </row>
    <row r="54" spans="1:4">
      <c r="A54">
        <v>153</v>
      </c>
      <c r="B54" t="s">
        <v>51</v>
      </c>
      <c r="C54" t="s">
        <v>15</v>
      </c>
      <c r="D54" t="s">
        <v>52</v>
      </c>
    </row>
    <row r="55" spans="1:4">
      <c r="A55">
        <v>154</v>
      </c>
      <c r="B55" t="s">
        <v>53</v>
      </c>
      <c r="C55" t="s">
        <v>12</v>
      </c>
      <c r="D55" t="s">
        <v>54</v>
      </c>
    </row>
    <row r="56" spans="1:4">
      <c r="A56">
        <v>155</v>
      </c>
      <c r="B56" t="s">
        <v>55</v>
      </c>
      <c r="C56" t="s">
        <v>15</v>
      </c>
      <c r="D56" t="s">
        <v>44</v>
      </c>
    </row>
    <row r="57" spans="1:4">
      <c r="A57">
        <v>156</v>
      </c>
      <c r="B57" t="s">
        <v>56</v>
      </c>
      <c r="C57" t="s">
        <v>12</v>
      </c>
      <c r="D57" t="s">
        <v>57</v>
      </c>
    </row>
    <row r="58" spans="1:4">
      <c r="A58">
        <v>157</v>
      </c>
      <c r="B58" t="s">
        <v>43</v>
      </c>
      <c r="C58" t="s">
        <v>12</v>
      </c>
      <c r="D58" t="s">
        <v>44</v>
      </c>
    </row>
    <row r="59" spans="1:4">
      <c r="A59">
        <v>158</v>
      </c>
      <c r="B59" t="s">
        <v>45</v>
      </c>
      <c r="C59" t="s">
        <v>12</v>
      </c>
      <c r="D59" t="s">
        <v>46</v>
      </c>
    </row>
    <row r="60" spans="1:4">
      <c r="A60">
        <v>159</v>
      </c>
      <c r="B60" t="s">
        <v>47</v>
      </c>
      <c r="C60" t="s">
        <v>15</v>
      </c>
      <c r="D60" t="s">
        <v>48</v>
      </c>
    </row>
    <row r="61" spans="1:4">
      <c r="A61">
        <v>160</v>
      </c>
      <c r="B61" t="s">
        <v>49</v>
      </c>
      <c r="C61" t="s">
        <v>12</v>
      </c>
      <c r="D61" t="s">
        <v>50</v>
      </c>
    </row>
    <row r="62" spans="1:4">
      <c r="A62">
        <v>161</v>
      </c>
      <c r="B62" t="s">
        <v>51</v>
      </c>
      <c r="C62" t="s">
        <v>15</v>
      </c>
      <c r="D62" t="s">
        <v>52</v>
      </c>
    </row>
    <row r="63" spans="1:4">
      <c r="A63">
        <v>162</v>
      </c>
      <c r="B63" t="s">
        <v>53</v>
      </c>
      <c r="C63" t="s">
        <v>12</v>
      </c>
      <c r="D63" t="s">
        <v>54</v>
      </c>
    </row>
    <row r="64" spans="1:4">
      <c r="A64">
        <v>163</v>
      </c>
      <c r="B64" t="s">
        <v>55</v>
      </c>
      <c r="C64" t="s">
        <v>15</v>
      </c>
      <c r="D64" t="s">
        <v>44</v>
      </c>
    </row>
    <row r="65" spans="1:4">
      <c r="A65">
        <v>164</v>
      </c>
      <c r="B65" t="s">
        <v>56</v>
      </c>
      <c r="C65" t="s">
        <v>12</v>
      </c>
      <c r="D65" t="s">
        <v>57</v>
      </c>
    </row>
    <row r="66" spans="1:4">
      <c r="A66">
        <v>165</v>
      </c>
      <c r="B66" t="s">
        <v>43</v>
      </c>
      <c r="C66" t="s">
        <v>12</v>
      </c>
      <c r="D66" t="s">
        <v>44</v>
      </c>
    </row>
    <row r="67" spans="1:4">
      <c r="A67">
        <v>166</v>
      </c>
      <c r="B67" t="s">
        <v>45</v>
      </c>
      <c r="C67" t="s">
        <v>12</v>
      </c>
      <c r="D67" t="s">
        <v>46</v>
      </c>
    </row>
    <row r="68" spans="1:4">
      <c r="A68">
        <v>167</v>
      </c>
      <c r="B68" t="s">
        <v>47</v>
      </c>
      <c r="C68" t="s">
        <v>15</v>
      </c>
      <c r="D68" t="s">
        <v>48</v>
      </c>
    </row>
    <row r="69" spans="1:4">
      <c r="A69">
        <v>168</v>
      </c>
      <c r="B69" t="s">
        <v>49</v>
      </c>
      <c r="C69" t="s">
        <v>12</v>
      </c>
      <c r="D69" t="s">
        <v>50</v>
      </c>
    </row>
    <row r="70" spans="1:4">
      <c r="A70">
        <v>169</v>
      </c>
      <c r="B70" t="s">
        <v>51</v>
      </c>
      <c r="C70" t="s">
        <v>15</v>
      </c>
      <c r="D70" t="s">
        <v>52</v>
      </c>
    </row>
    <row r="71" spans="1:4">
      <c r="A71">
        <v>170</v>
      </c>
      <c r="B71" t="s">
        <v>53</v>
      </c>
      <c r="C71" t="s">
        <v>12</v>
      </c>
      <c r="D71" t="s">
        <v>54</v>
      </c>
    </row>
    <row r="72" spans="1:4">
      <c r="A72">
        <v>171</v>
      </c>
      <c r="B72" t="s">
        <v>55</v>
      </c>
      <c r="C72" t="s">
        <v>15</v>
      </c>
      <c r="D72" t="s">
        <v>44</v>
      </c>
    </row>
    <row r="73" spans="1:4">
      <c r="A73">
        <v>172</v>
      </c>
      <c r="B73" t="s">
        <v>56</v>
      </c>
      <c r="C73" t="s">
        <v>12</v>
      </c>
      <c r="D73" t="s">
        <v>57</v>
      </c>
    </row>
    <row r="74" spans="1:4">
      <c r="A74">
        <v>173</v>
      </c>
      <c r="B74" t="s">
        <v>43</v>
      </c>
      <c r="C74" t="s">
        <v>12</v>
      </c>
      <c r="D74" t="s">
        <v>44</v>
      </c>
    </row>
    <row r="75" spans="1:4">
      <c r="A75">
        <v>174</v>
      </c>
      <c r="B75" t="s">
        <v>45</v>
      </c>
      <c r="C75" t="s">
        <v>12</v>
      </c>
      <c r="D75" t="s">
        <v>46</v>
      </c>
    </row>
    <row r="76" spans="1:4">
      <c r="A76">
        <v>175</v>
      </c>
      <c r="B76" t="s">
        <v>47</v>
      </c>
      <c r="C76" t="s">
        <v>15</v>
      </c>
      <c r="D76" t="s">
        <v>48</v>
      </c>
    </row>
    <row r="77" spans="1:4">
      <c r="A77">
        <v>176</v>
      </c>
      <c r="B77" t="s">
        <v>49</v>
      </c>
      <c r="C77" t="s">
        <v>12</v>
      </c>
      <c r="D77" t="s">
        <v>50</v>
      </c>
    </row>
    <row r="78" spans="1:4">
      <c r="A78">
        <v>177</v>
      </c>
      <c r="B78" t="s">
        <v>51</v>
      </c>
      <c r="C78" t="s">
        <v>15</v>
      </c>
      <c r="D78" t="s">
        <v>52</v>
      </c>
    </row>
    <row r="79" spans="1:4">
      <c r="A79">
        <v>178</v>
      </c>
      <c r="B79" t="s">
        <v>53</v>
      </c>
      <c r="C79" t="s">
        <v>12</v>
      </c>
      <c r="D79" t="s">
        <v>54</v>
      </c>
    </row>
    <row r="80" spans="1:4">
      <c r="A80">
        <v>179</v>
      </c>
      <c r="B80" t="s">
        <v>55</v>
      </c>
      <c r="C80" t="s">
        <v>15</v>
      </c>
      <c r="D80" t="s">
        <v>44</v>
      </c>
    </row>
    <row r="81" spans="1:4">
      <c r="A81">
        <v>180</v>
      </c>
      <c r="B81" t="s">
        <v>56</v>
      </c>
      <c r="C81" t="s">
        <v>12</v>
      </c>
      <c r="D81" t="s">
        <v>57</v>
      </c>
    </row>
    <row r="82" spans="1:4">
      <c r="A82">
        <v>181</v>
      </c>
      <c r="B82" t="s">
        <v>43</v>
      </c>
      <c r="C82" t="s">
        <v>12</v>
      </c>
      <c r="D82" t="s">
        <v>44</v>
      </c>
    </row>
    <row r="83" spans="1:4">
      <c r="A83">
        <v>182</v>
      </c>
      <c r="B83" t="s">
        <v>45</v>
      </c>
      <c r="C83" t="s">
        <v>12</v>
      </c>
      <c r="D83" t="s">
        <v>46</v>
      </c>
    </row>
    <row r="84" spans="1:4">
      <c r="A84">
        <v>183</v>
      </c>
      <c r="B84" t="s">
        <v>47</v>
      </c>
      <c r="C84" t="s">
        <v>15</v>
      </c>
      <c r="D84" t="s">
        <v>48</v>
      </c>
    </row>
    <row r="85" spans="1:4">
      <c r="A85">
        <v>184</v>
      </c>
      <c r="B85" t="s">
        <v>49</v>
      </c>
      <c r="C85" t="s">
        <v>12</v>
      </c>
      <c r="D85" t="s">
        <v>50</v>
      </c>
    </row>
    <row r="86" spans="1:4">
      <c r="A86">
        <v>185</v>
      </c>
      <c r="B86" t="s">
        <v>51</v>
      </c>
      <c r="C86" t="s">
        <v>15</v>
      </c>
      <c r="D86" t="s">
        <v>52</v>
      </c>
    </row>
    <row r="87" spans="1:4">
      <c r="A87">
        <v>186</v>
      </c>
      <c r="B87" t="s">
        <v>53</v>
      </c>
      <c r="C87" t="s">
        <v>12</v>
      </c>
      <c r="D87" t="s">
        <v>54</v>
      </c>
    </row>
    <row r="88" spans="1:4">
      <c r="A88">
        <v>187</v>
      </c>
      <c r="B88" t="s">
        <v>55</v>
      </c>
      <c r="C88" t="s">
        <v>15</v>
      </c>
      <c r="D88" t="s">
        <v>44</v>
      </c>
    </row>
    <row r="89" spans="1:4">
      <c r="A89">
        <v>188</v>
      </c>
      <c r="B89" t="s">
        <v>56</v>
      </c>
      <c r="C89" t="s">
        <v>12</v>
      </c>
      <c r="D89" t="s">
        <v>57</v>
      </c>
    </row>
    <row r="90" spans="1:4">
      <c r="A90">
        <v>189</v>
      </c>
      <c r="B90" t="s">
        <v>43</v>
      </c>
      <c r="C90" t="s">
        <v>12</v>
      </c>
      <c r="D90" t="s">
        <v>44</v>
      </c>
    </row>
    <row r="91" spans="1:4">
      <c r="A91">
        <v>190</v>
      </c>
      <c r="B91" t="s">
        <v>45</v>
      </c>
      <c r="C91" t="s">
        <v>12</v>
      </c>
      <c r="D91" t="s">
        <v>46</v>
      </c>
    </row>
    <row r="92" spans="1:4">
      <c r="A92">
        <v>191</v>
      </c>
      <c r="B92" t="s">
        <v>47</v>
      </c>
      <c r="C92" t="s">
        <v>15</v>
      </c>
      <c r="D92" t="s">
        <v>48</v>
      </c>
    </row>
    <row r="93" spans="1:4">
      <c r="A93">
        <v>192</v>
      </c>
      <c r="B93" t="s">
        <v>49</v>
      </c>
      <c r="C93" t="s">
        <v>12</v>
      </c>
      <c r="D93" t="s">
        <v>50</v>
      </c>
    </row>
    <row r="94" spans="1:4">
      <c r="A94">
        <v>193</v>
      </c>
      <c r="B94" t="s">
        <v>51</v>
      </c>
      <c r="C94" t="s">
        <v>15</v>
      </c>
      <c r="D94" t="s">
        <v>52</v>
      </c>
    </row>
    <row r="95" spans="1:4">
      <c r="A95">
        <v>194</v>
      </c>
      <c r="B95" t="s">
        <v>53</v>
      </c>
      <c r="C95" t="s">
        <v>12</v>
      </c>
      <c r="D95" t="s">
        <v>54</v>
      </c>
    </row>
    <row r="96" spans="1:4">
      <c r="A96">
        <v>195</v>
      </c>
      <c r="B96" t="s">
        <v>55</v>
      </c>
      <c r="C96" t="s">
        <v>15</v>
      </c>
      <c r="D96" t="s">
        <v>44</v>
      </c>
    </row>
    <row r="97" spans="1:4">
      <c r="A97">
        <v>196</v>
      </c>
      <c r="B97" t="s">
        <v>56</v>
      </c>
      <c r="C97" t="s">
        <v>12</v>
      </c>
      <c r="D97" t="s">
        <v>57</v>
      </c>
    </row>
    <row r="98" spans="1:4">
      <c r="A98">
        <v>197</v>
      </c>
      <c r="B98" t="s">
        <v>43</v>
      </c>
      <c r="C98" t="s">
        <v>12</v>
      </c>
      <c r="D98" t="s">
        <v>44</v>
      </c>
    </row>
    <row r="99" spans="1:4">
      <c r="A99">
        <v>198</v>
      </c>
      <c r="B99" t="s">
        <v>45</v>
      </c>
      <c r="C99" t="s">
        <v>12</v>
      </c>
      <c r="D99" t="s">
        <v>46</v>
      </c>
    </row>
    <row r="100" spans="1:4">
      <c r="A100">
        <v>199</v>
      </c>
      <c r="B100" t="s">
        <v>47</v>
      </c>
      <c r="C100" t="s">
        <v>15</v>
      </c>
      <c r="D100" t="s">
        <v>48</v>
      </c>
    </row>
    <row r="101" spans="1:4">
      <c r="A101">
        <v>200</v>
      </c>
      <c r="B101" t="s">
        <v>49</v>
      </c>
      <c r="C101" t="s">
        <v>12</v>
      </c>
      <c r="D101" t="s">
        <v>50</v>
      </c>
    </row>
    <row r="102" spans="1:4">
      <c r="A102">
        <v>201</v>
      </c>
      <c r="B102" t="s">
        <v>51</v>
      </c>
      <c r="C102" t="s">
        <v>15</v>
      </c>
      <c r="D102" t="s">
        <v>52</v>
      </c>
    </row>
    <row r="103" spans="1:4">
      <c r="A103">
        <v>202</v>
      </c>
      <c r="B103" t="s">
        <v>53</v>
      </c>
      <c r="C103" t="s">
        <v>12</v>
      </c>
      <c r="D103" t="s">
        <v>54</v>
      </c>
    </row>
    <row r="104" spans="1:4">
      <c r="A104">
        <v>203</v>
      </c>
      <c r="B104" t="s">
        <v>55</v>
      </c>
      <c r="C104" t="s">
        <v>15</v>
      </c>
      <c r="D104" t="s">
        <v>44</v>
      </c>
    </row>
    <row r="105" spans="1:4">
      <c r="A105">
        <v>204</v>
      </c>
      <c r="B105" t="s">
        <v>56</v>
      </c>
      <c r="C105" t="s">
        <v>12</v>
      </c>
      <c r="D105" t="s">
        <v>57</v>
      </c>
    </row>
    <row r="106" spans="1:4">
      <c r="A106">
        <v>205</v>
      </c>
      <c r="B106" t="s">
        <v>43</v>
      </c>
      <c r="C106" t="s">
        <v>12</v>
      </c>
      <c r="D106" t="s">
        <v>44</v>
      </c>
    </row>
    <row r="107" spans="1:4">
      <c r="A107">
        <v>206</v>
      </c>
      <c r="B107" t="s">
        <v>45</v>
      </c>
      <c r="C107" t="s">
        <v>12</v>
      </c>
      <c r="D107" t="s">
        <v>46</v>
      </c>
    </row>
    <row r="108" spans="1:4">
      <c r="A108">
        <v>207</v>
      </c>
      <c r="B108" t="s">
        <v>47</v>
      </c>
      <c r="C108" t="s">
        <v>15</v>
      </c>
      <c r="D108" t="s">
        <v>48</v>
      </c>
    </row>
    <row r="109" spans="1:4">
      <c r="A109">
        <v>208</v>
      </c>
      <c r="B109" t="s">
        <v>49</v>
      </c>
      <c r="C109" t="s">
        <v>12</v>
      </c>
      <c r="D109" t="s">
        <v>50</v>
      </c>
    </row>
    <row r="110" spans="1:4">
      <c r="A110">
        <v>209</v>
      </c>
      <c r="B110" t="s">
        <v>51</v>
      </c>
      <c r="C110" t="s">
        <v>15</v>
      </c>
      <c r="D110" t="s">
        <v>52</v>
      </c>
    </row>
    <row r="111" spans="1:4">
      <c r="A111">
        <v>210</v>
      </c>
      <c r="B111" t="s">
        <v>53</v>
      </c>
      <c r="C111" t="s">
        <v>12</v>
      </c>
      <c r="D111" t="s">
        <v>54</v>
      </c>
    </row>
    <row r="112" spans="1:4">
      <c r="A112">
        <v>211</v>
      </c>
      <c r="B112" t="s">
        <v>55</v>
      </c>
      <c r="C112" t="s">
        <v>15</v>
      </c>
      <c r="D112" t="s">
        <v>44</v>
      </c>
    </row>
    <row r="113" spans="1:4">
      <c r="A113">
        <v>212</v>
      </c>
      <c r="B113" t="s">
        <v>56</v>
      </c>
      <c r="C113" t="s">
        <v>12</v>
      </c>
      <c r="D113" t="s">
        <v>57</v>
      </c>
    </row>
    <row r="114" spans="1:4">
      <c r="A114">
        <v>213</v>
      </c>
      <c r="B114" t="s">
        <v>43</v>
      </c>
      <c r="C114" t="s">
        <v>12</v>
      </c>
      <c r="D114" t="s">
        <v>44</v>
      </c>
    </row>
    <row r="115" spans="1:4">
      <c r="A115">
        <v>214</v>
      </c>
      <c r="B115" t="s">
        <v>45</v>
      </c>
      <c r="C115" t="s">
        <v>12</v>
      </c>
      <c r="D115" t="s">
        <v>46</v>
      </c>
    </row>
    <row r="116" spans="1:4">
      <c r="A116">
        <v>215</v>
      </c>
      <c r="B116" t="s">
        <v>47</v>
      </c>
      <c r="C116" t="s">
        <v>15</v>
      </c>
      <c r="D116" t="s">
        <v>48</v>
      </c>
    </row>
    <row r="117" spans="1:4">
      <c r="A117">
        <v>216</v>
      </c>
      <c r="B117" t="s">
        <v>49</v>
      </c>
      <c r="C117" t="s">
        <v>12</v>
      </c>
      <c r="D117" t="s">
        <v>50</v>
      </c>
    </row>
    <row r="118" spans="1:4">
      <c r="A118">
        <v>217</v>
      </c>
      <c r="B118" t="s">
        <v>51</v>
      </c>
      <c r="C118" t="s">
        <v>15</v>
      </c>
      <c r="D118" t="s">
        <v>52</v>
      </c>
    </row>
    <row r="119" spans="1:4">
      <c r="A119">
        <v>218</v>
      </c>
      <c r="B119" t="s">
        <v>53</v>
      </c>
      <c r="C119" t="s">
        <v>12</v>
      </c>
      <c r="D119" t="s">
        <v>54</v>
      </c>
    </row>
    <row r="120" spans="1:4">
      <c r="A120">
        <v>219</v>
      </c>
      <c r="B120" t="s">
        <v>55</v>
      </c>
      <c r="C120" t="s">
        <v>15</v>
      </c>
      <c r="D120" t="s">
        <v>44</v>
      </c>
    </row>
    <row r="121" spans="1:4">
      <c r="A121">
        <v>220</v>
      </c>
      <c r="B121" t="s">
        <v>56</v>
      </c>
      <c r="C121" t="s">
        <v>12</v>
      </c>
      <c r="D121" t="s">
        <v>57</v>
      </c>
    </row>
    <row r="122" spans="1:4">
      <c r="A122">
        <v>221</v>
      </c>
      <c r="B122" t="s">
        <v>43</v>
      </c>
      <c r="C122" t="s">
        <v>12</v>
      </c>
      <c r="D122" t="s">
        <v>44</v>
      </c>
    </row>
    <row r="123" spans="1:4">
      <c r="A123">
        <v>222</v>
      </c>
      <c r="B123" t="s">
        <v>45</v>
      </c>
      <c r="C123" t="s">
        <v>12</v>
      </c>
      <c r="D123" t="s">
        <v>46</v>
      </c>
    </row>
    <row r="124" spans="1:4">
      <c r="A124">
        <v>223</v>
      </c>
      <c r="B124" t="s">
        <v>47</v>
      </c>
      <c r="C124" t="s">
        <v>15</v>
      </c>
      <c r="D124" t="s">
        <v>48</v>
      </c>
    </row>
    <row r="125" spans="1:4">
      <c r="A125">
        <v>224</v>
      </c>
      <c r="B125" t="s">
        <v>49</v>
      </c>
      <c r="C125" t="s">
        <v>12</v>
      </c>
      <c r="D125" t="s">
        <v>50</v>
      </c>
    </row>
    <row r="126" spans="1:4">
      <c r="A126">
        <v>225</v>
      </c>
      <c r="B126" t="s">
        <v>51</v>
      </c>
      <c r="C126" t="s">
        <v>15</v>
      </c>
      <c r="D126" t="s">
        <v>52</v>
      </c>
    </row>
    <row r="127" spans="1:4">
      <c r="A127">
        <v>226</v>
      </c>
      <c r="B127" t="s">
        <v>53</v>
      </c>
      <c r="C127" t="s">
        <v>12</v>
      </c>
      <c r="D127" t="s">
        <v>54</v>
      </c>
    </row>
    <row r="128" spans="1:4">
      <c r="A128">
        <v>227</v>
      </c>
      <c r="B128" t="s">
        <v>55</v>
      </c>
      <c r="C128" t="s">
        <v>15</v>
      </c>
      <c r="D128" t="s">
        <v>44</v>
      </c>
    </row>
    <row r="129" spans="1:4">
      <c r="A129">
        <v>228</v>
      </c>
      <c r="B129" t="s">
        <v>56</v>
      </c>
      <c r="C129" t="s">
        <v>12</v>
      </c>
      <c r="D129" t="s">
        <v>57</v>
      </c>
    </row>
    <row r="130" spans="1:4">
      <c r="A130">
        <v>229</v>
      </c>
      <c r="B130" t="s">
        <v>43</v>
      </c>
      <c r="C130" t="s">
        <v>12</v>
      </c>
      <c r="D130" t="s">
        <v>44</v>
      </c>
    </row>
    <row r="131" spans="1:4">
      <c r="A131">
        <v>230</v>
      </c>
      <c r="B131" t="s">
        <v>45</v>
      </c>
      <c r="C131" t="s">
        <v>12</v>
      </c>
      <c r="D131" t="s">
        <v>46</v>
      </c>
    </row>
    <row r="132" spans="1:4">
      <c r="A132">
        <v>231</v>
      </c>
      <c r="B132" t="s">
        <v>47</v>
      </c>
      <c r="C132" t="s">
        <v>15</v>
      </c>
      <c r="D132" t="s">
        <v>48</v>
      </c>
    </row>
    <row r="133" spans="1:4">
      <c r="A133">
        <v>232</v>
      </c>
      <c r="B133" t="s">
        <v>49</v>
      </c>
      <c r="C133" t="s">
        <v>12</v>
      </c>
      <c r="D133" t="s">
        <v>50</v>
      </c>
    </row>
    <row r="134" spans="1:4">
      <c r="A134">
        <v>233</v>
      </c>
      <c r="B134" t="s">
        <v>51</v>
      </c>
      <c r="C134" t="s">
        <v>15</v>
      </c>
      <c r="D134" t="s">
        <v>52</v>
      </c>
    </row>
    <row r="135" spans="1:4">
      <c r="A135">
        <v>234</v>
      </c>
      <c r="B135" t="s">
        <v>53</v>
      </c>
      <c r="C135" t="s">
        <v>12</v>
      </c>
      <c r="D135" t="s">
        <v>54</v>
      </c>
    </row>
    <row r="136" spans="1:4">
      <c r="A136">
        <v>235</v>
      </c>
      <c r="B136" t="s">
        <v>55</v>
      </c>
      <c r="C136" t="s">
        <v>15</v>
      </c>
      <c r="D136" t="s">
        <v>44</v>
      </c>
    </row>
    <row r="137" spans="1:4">
      <c r="A137">
        <v>236</v>
      </c>
      <c r="B137" t="s">
        <v>56</v>
      </c>
      <c r="C137" t="s">
        <v>12</v>
      </c>
      <c r="D137" t="s">
        <v>57</v>
      </c>
    </row>
    <row r="138" spans="1:4">
      <c r="A138">
        <v>237</v>
      </c>
      <c r="B138" t="s">
        <v>43</v>
      </c>
      <c r="C138" t="s">
        <v>12</v>
      </c>
      <c r="D138" t="s">
        <v>44</v>
      </c>
    </row>
    <row r="139" spans="1:4">
      <c r="A139">
        <v>238</v>
      </c>
      <c r="B139" t="s">
        <v>45</v>
      </c>
      <c r="C139" t="s">
        <v>12</v>
      </c>
      <c r="D139" t="s">
        <v>46</v>
      </c>
    </row>
    <row r="140" spans="1:4">
      <c r="A140">
        <v>239</v>
      </c>
      <c r="B140" t="s">
        <v>47</v>
      </c>
      <c r="C140" t="s">
        <v>15</v>
      </c>
      <c r="D140" t="s">
        <v>48</v>
      </c>
    </row>
    <row r="141" spans="1:4">
      <c r="A141">
        <v>240</v>
      </c>
      <c r="B141" t="s">
        <v>49</v>
      </c>
      <c r="C141" t="s">
        <v>12</v>
      </c>
      <c r="D141" t="s">
        <v>50</v>
      </c>
    </row>
    <row r="142" spans="1:4">
      <c r="A142">
        <v>241</v>
      </c>
      <c r="B142" t="s">
        <v>51</v>
      </c>
      <c r="C142" t="s">
        <v>15</v>
      </c>
      <c r="D142" t="s">
        <v>52</v>
      </c>
    </row>
    <row r="143" spans="1:4">
      <c r="A143">
        <v>242</v>
      </c>
      <c r="B143" t="s">
        <v>53</v>
      </c>
      <c r="C143" t="s">
        <v>12</v>
      </c>
      <c r="D143" t="s">
        <v>54</v>
      </c>
    </row>
    <row r="144" spans="1:4">
      <c r="A144">
        <v>243</v>
      </c>
      <c r="B144" t="s">
        <v>55</v>
      </c>
      <c r="C144" t="s">
        <v>15</v>
      </c>
      <c r="D144" t="s">
        <v>44</v>
      </c>
    </row>
    <row r="145" spans="1:4">
      <c r="A145">
        <v>244</v>
      </c>
      <c r="B145" t="s">
        <v>56</v>
      </c>
      <c r="C145" t="s">
        <v>12</v>
      </c>
      <c r="D145" t="s">
        <v>57</v>
      </c>
    </row>
    <row r="146" spans="1:4">
      <c r="A146">
        <v>245</v>
      </c>
      <c r="B146" t="s">
        <v>43</v>
      </c>
      <c r="C146" t="s">
        <v>12</v>
      </c>
      <c r="D146" t="s">
        <v>44</v>
      </c>
    </row>
    <row r="147" spans="1:4">
      <c r="A147">
        <v>246</v>
      </c>
      <c r="B147" t="s">
        <v>45</v>
      </c>
      <c r="C147" t="s">
        <v>12</v>
      </c>
      <c r="D147" t="s">
        <v>46</v>
      </c>
    </row>
    <row r="148" spans="1:4">
      <c r="A148">
        <v>247</v>
      </c>
      <c r="B148" t="s">
        <v>47</v>
      </c>
      <c r="C148" t="s">
        <v>15</v>
      </c>
      <c r="D148" t="s">
        <v>48</v>
      </c>
    </row>
    <row r="149" spans="1:4">
      <c r="A149">
        <v>248</v>
      </c>
      <c r="B149" t="s">
        <v>49</v>
      </c>
      <c r="C149" t="s">
        <v>12</v>
      </c>
      <c r="D149" t="s">
        <v>50</v>
      </c>
    </row>
    <row r="150" spans="1:4">
      <c r="A150">
        <v>249</v>
      </c>
      <c r="B150" t="s">
        <v>51</v>
      </c>
      <c r="C150" t="s">
        <v>15</v>
      </c>
      <c r="D150" t="s">
        <v>52</v>
      </c>
    </row>
    <row r="151" spans="1:4">
      <c r="A151">
        <v>250</v>
      </c>
      <c r="B151" t="s">
        <v>53</v>
      </c>
      <c r="C151" t="s">
        <v>12</v>
      </c>
      <c r="D151" t="s">
        <v>54</v>
      </c>
    </row>
    <row r="152" spans="1:4">
      <c r="A152">
        <v>251</v>
      </c>
      <c r="B152" t="s">
        <v>55</v>
      </c>
      <c r="C152" t="s">
        <v>15</v>
      </c>
      <c r="D152" t="s">
        <v>44</v>
      </c>
    </row>
    <row r="153" spans="1:4">
      <c r="A153">
        <v>252</v>
      </c>
      <c r="B153" t="s">
        <v>56</v>
      </c>
      <c r="C153" t="s">
        <v>12</v>
      </c>
      <c r="D153" t="s">
        <v>57</v>
      </c>
    </row>
    <row r="154" spans="1:4">
      <c r="A154">
        <v>253</v>
      </c>
      <c r="B154" t="s">
        <v>43</v>
      </c>
      <c r="C154" t="s">
        <v>12</v>
      </c>
      <c r="D154" t="s">
        <v>44</v>
      </c>
    </row>
    <row r="155" spans="1:4">
      <c r="A155">
        <v>254</v>
      </c>
      <c r="B155" t="s">
        <v>45</v>
      </c>
      <c r="C155" t="s">
        <v>12</v>
      </c>
      <c r="D155" t="s">
        <v>46</v>
      </c>
    </row>
    <row r="156" spans="1:4">
      <c r="A156">
        <v>255</v>
      </c>
      <c r="B156" t="s">
        <v>47</v>
      </c>
      <c r="C156" t="s">
        <v>15</v>
      </c>
      <c r="D156" t="s">
        <v>48</v>
      </c>
    </row>
    <row r="157" spans="1:4">
      <c r="A157">
        <v>256</v>
      </c>
      <c r="B157" t="s">
        <v>49</v>
      </c>
      <c r="C157" t="s">
        <v>12</v>
      </c>
      <c r="D157" t="s">
        <v>50</v>
      </c>
    </row>
    <row r="158" spans="1:4">
      <c r="A158">
        <v>257</v>
      </c>
      <c r="B158" t="s">
        <v>51</v>
      </c>
      <c r="C158" t="s">
        <v>15</v>
      </c>
      <c r="D158" t="s">
        <v>52</v>
      </c>
    </row>
    <row r="159" spans="1:4">
      <c r="A159">
        <v>258</v>
      </c>
      <c r="B159" t="s">
        <v>53</v>
      </c>
      <c r="C159" t="s">
        <v>12</v>
      </c>
      <c r="D159" t="s">
        <v>54</v>
      </c>
    </row>
    <row r="160" spans="1:4">
      <c r="A160">
        <v>259</v>
      </c>
      <c r="B160" t="s">
        <v>55</v>
      </c>
      <c r="C160" t="s">
        <v>15</v>
      </c>
      <c r="D160" t="s">
        <v>44</v>
      </c>
    </row>
    <row r="161" spans="1:4">
      <c r="A161">
        <v>260</v>
      </c>
      <c r="B161" t="s">
        <v>56</v>
      </c>
      <c r="C161" t="s">
        <v>12</v>
      </c>
      <c r="D161" t="s">
        <v>57</v>
      </c>
    </row>
    <row r="162" spans="1:4">
      <c r="A162">
        <v>261</v>
      </c>
      <c r="B162" t="s">
        <v>43</v>
      </c>
      <c r="C162" t="s">
        <v>12</v>
      </c>
      <c r="D162" t="s">
        <v>44</v>
      </c>
    </row>
    <row r="163" spans="1:4">
      <c r="A163">
        <v>262</v>
      </c>
      <c r="B163" t="s">
        <v>45</v>
      </c>
      <c r="C163" t="s">
        <v>12</v>
      </c>
      <c r="D163" t="s">
        <v>46</v>
      </c>
    </row>
    <row r="164" spans="1:4">
      <c r="A164">
        <v>263</v>
      </c>
      <c r="B164" t="s">
        <v>47</v>
      </c>
      <c r="C164" t="s">
        <v>15</v>
      </c>
      <c r="D164" t="s">
        <v>48</v>
      </c>
    </row>
    <row r="165" spans="1:4">
      <c r="A165">
        <v>264</v>
      </c>
      <c r="B165" t="s">
        <v>49</v>
      </c>
      <c r="C165" t="s">
        <v>12</v>
      </c>
      <c r="D165" t="s">
        <v>50</v>
      </c>
    </row>
    <row r="166" spans="1:4">
      <c r="A166">
        <v>265</v>
      </c>
      <c r="B166" t="s">
        <v>51</v>
      </c>
      <c r="C166" t="s">
        <v>15</v>
      </c>
      <c r="D166" t="s">
        <v>52</v>
      </c>
    </row>
    <row r="167" spans="1:4">
      <c r="A167">
        <v>266</v>
      </c>
      <c r="B167" t="s">
        <v>53</v>
      </c>
      <c r="C167" t="s">
        <v>12</v>
      </c>
      <c r="D167" t="s">
        <v>54</v>
      </c>
    </row>
    <row r="168" spans="1:4">
      <c r="A168">
        <v>267</v>
      </c>
      <c r="B168" t="s">
        <v>55</v>
      </c>
      <c r="C168" t="s">
        <v>15</v>
      </c>
      <c r="D168" t="s">
        <v>44</v>
      </c>
    </row>
    <row r="169" spans="1:4">
      <c r="A169">
        <v>268</v>
      </c>
      <c r="B169" t="s">
        <v>56</v>
      </c>
      <c r="C169" t="s">
        <v>12</v>
      </c>
      <c r="D169" t="s">
        <v>57</v>
      </c>
    </row>
    <row r="170" spans="1:4">
      <c r="A170">
        <v>269</v>
      </c>
      <c r="B170" t="s">
        <v>43</v>
      </c>
      <c r="C170" t="s">
        <v>12</v>
      </c>
      <c r="D170" t="s">
        <v>44</v>
      </c>
    </row>
    <row r="171" spans="1:4">
      <c r="A171">
        <v>270</v>
      </c>
      <c r="B171" t="s">
        <v>45</v>
      </c>
      <c r="C171" t="s">
        <v>12</v>
      </c>
      <c r="D171" t="s">
        <v>46</v>
      </c>
    </row>
    <row r="172" spans="1:4">
      <c r="A172">
        <v>271</v>
      </c>
      <c r="B172" t="s">
        <v>47</v>
      </c>
      <c r="C172" t="s">
        <v>15</v>
      </c>
      <c r="D172" t="s">
        <v>48</v>
      </c>
    </row>
    <row r="173" spans="1:4">
      <c r="A173">
        <v>272</v>
      </c>
      <c r="B173" t="s">
        <v>49</v>
      </c>
      <c r="C173" t="s">
        <v>12</v>
      </c>
      <c r="D173" t="s">
        <v>50</v>
      </c>
    </row>
    <row r="174" spans="1:4">
      <c r="A174">
        <v>273</v>
      </c>
      <c r="B174" t="s">
        <v>51</v>
      </c>
      <c r="C174" t="s">
        <v>15</v>
      </c>
      <c r="D174" t="s">
        <v>52</v>
      </c>
    </row>
    <row r="175" spans="1:4">
      <c r="A175">
        <v>274</v>
      </c>
      <c r="B175" t="s">
        <v>53</v>
      </c>
      <c r="C175" t="s">
        <v>12</v>
      </c>
      <c r="D175" t="s">
        <v>54</v>
      </c>
    </row>
    <row r="176" spans="1:4">
      <c r="A176">
        <v>275</v>
      </c>
      <c r="B176" t="s">
        <v>55</v>
      </c>
      <c r="C176" t="s">
        <v>15</v>
      </c>
      <c r="D176" t="s">
        <v>44</v>
      </c>
    </row>
    <row r="177" spans="1:4">
      <c r="A177">
        <v>276</v>
      </c>
      <c r="B177" t="s">
        <v>56</v>
      </c>
      <c r="C177" t="s">
        <v>12</v>
      </c>
      <c r="D177" t="s">
        <v>57</v>
      </c>
    </row>
    <row r="178" spans="1:4">
      <c r="A178">
        <v>277</v>
      </c>
      <c r="B178" t="s">
        <v>43</v>
      </c>
      <c r="C178" t="s">
        <v>12</v>
      </c>
      <c r="D178" t="s">
        <v>44</v>
      </c>
    </row>
    <row r="179" spans="1:4">
      <c r="A179">
        <v>278</v>
      </c>
      <c r="B179" t="s">
        <v>45</v>
      </c>
      <c r="C179" t="s">
        <v>12</v>
      </c>
      <c r="D179" t="s">
        <v>46</v>
      </c>
    </row>
    <row r="180" spans="1:4">
      <c r="A180">
        <v>279</v>
      </c>
      <c r="B180" t="s">
        <v>47</v>
      </c>
      <c r="C180" t="s">
        <v>15</v>
      </c>
      <c r="D180" t="s">
        <v>48</v>
      </c>
    </row>
    <row r="181" spans="1:4">
      <c r="A181">
        <v>280</v>
      </c>
      <c r="B181" t="s">
        <v>49</v>
      </c>
      <c r="C181" t="s">
        <v>12</v>
      </c>
      <c r="D181" t="s">
        <v>50</v>
      </c>
    </row>
    <row r="182" spans="1:4">
      <c r="A182">
        <v>281</v>
      </c>
      <c r="B182" t="s">
        <v>51</v>
      </c>
      <c r="C182" t="s">
        <v>15</v>
      </c>
      <c r="D182" t="s">
        <v>52</v>
      </c>
    </row>
    <row r="183" spans="1:4">
      <c r="A183">
        <v>282</v>
      </c>
      <c r="B183" t="s">
        <v>53</v>
      </c>
      <c r="C183" t="s">
        <v>12</v>
      </c>
      <c r="D183" t="s">
        <v>54</v>
      </c>
    </row>
    <row r="184" spans="1:4">
      <c r="A184">
        <v>283</v>
      </c>
      <c r="B184" t="s">
        <v>55</v>
      </c>
      <c r="C184" t="s">
        <v>15</v>
      </c>
      <c r="D184" t="s">
        <v>44</v>
      </c>
    </row>
    <row r="185" spans="1:4">
      <c r="A185">
        <v>284</v>
      </c>
      <c r="B185" t="s">
        <v>56</v>
      </c>
      <c r="C185" t="s">
        <v>12</v>
      </c>
      <c r="D185" t="s">
        <v>57</v>
      </c>
    </row>
    <row r="186" spans="1:4">
      <c r="A186">
        <v>285</v>
      </c>
      <c r="B186" t="s">
        <v>43</v>
      </c>
      <c r="C186" t="s">
        <v>12</v>
      </c>
      <c r="D186" t="s">
        <v>44</v>
      </c>
    </row>
    <row r="187" spans="1:4">
      <c r="A187">
        <v>286</v>
      </c>
      <c r="B187" t="s">
        <v>45</v>
      </c>
      <c r="C187" t="s">
        <v>12</v>
      </c>
      <c r="D187" t="s">
        <v>46</v>
      </c>
    </row>
    <row r="188" spans="1:4">
      <c r="A188">
        <v>287</v>
      </c>
      <c r="B188" t="s">
        <v>47</v>
      </c>
      <c r="C188" t="s">
        <v>15</v>
      </c>
      <c r="D188" t="s">
        <v>48</v>
      </c>
    </row>
    <row r="189" spans="1:4">
      <c r="A189">
        <v>288</v>
      </c>
      <c r="B189" t="s">
        <v>49</v>
      </c>
      <c r="C189" t="s">
        <v>12</v>
      </c>
      <c r="D189" t="s">
        <v>50</v>
      </c>
    </row>
    <row r="190" spans="1:4">
      <c r="A190">
        <v>289</v>
      </c>
      <c r="B190" t="s">
        <v>51</v>
      </c>
      <c r="C190" t="s">
        <v>15</v>
      </c>
      <c r="D190" t="s">
        <v>52</v>
      </c>
    </row>
    <row r="191" spans="1:4">
      <c r="A191">
        <v>290</v>
      </c>
      <c r="B191" t="s">
        <v>53</v>
      </c>
      <c r="C191" t="s">
        <v>12</v>
      </c>
      <c r="D191" t="s">
        <v>54</v>
      </c>
    </row>
    <row r="192" spans="1:4">
      <c r="A192">
        <v>291</v>
      </c>
      <c r="B192" t="s">
        <v>55</v>
      </c>
      <c r="C192" t="s">
        <v>15</v>
      </c>
      <c r="D192" t="s">
        <v>44</v>
      </c>
    </row>
    <row r="193" spans="1:4">
      <c r="A193">
        <v>292</v>
      </c>
      <c r="B193" t="s">
        <v>56</v>
      </c>
      <c r="C193" t="s">
        <v>12</v>
      </c>
      <c r="D193" t="s">
        <v>57</v>
      </c>
    </row>
    <row r="194" spans="1:4">
      <c r="A194">
        <v>293</v>
      </c>
      <c r="B194" t="s">
        <v>43</v>
      </c>
      <c r="C194" t="s">
        <v>12</v>
      </c>
      <c r="D194" t="s">
        <v>44</v>
      </c>
    </row>
    <row r="195" spans="1:4">
      <c r="A195">
        <v>294</v>
      </c>
      <c r="B195" t="s">
        <v>45</v>
      </c>
      <c r="C195" t="s">
        <v>12</v>
      </c>
      <c r="D195" t="s">
        <v>46</v>
      </c>
    </row>
    <row r="196" spans="1:4">
      <c r="A196">
        <v>295</v>
      </c>
      <c r="B196" t="s">
        <v>47</v>
      </c>
      <c r="C196" t="s">
        <v>15</v>
      </c>
      <c r="D196" t="s">
        <v>48</v>
      </c>
    </row>
    <row r="197" spans="1:4">
      <c r="A197">
        <v>296</v>
      </c>
      <c r="B197" t="s">
        <v>49</v>
      </c>
      <c r="C197" t="s">
        <v>12</v>
      </c>
      <c r="D197" t="s">
        <v>50</v>
      </c>
    </row>
    <row r="198" spans="1:4">
      <c r="A198">
        <v>297</v>
      </c>
      <c r="B198" t="s">
        <v>51</v>
      </c>
      <c r="C198" t="s">
        <v>15</v>
      </c>
      <c r="D198" t="s">
        <v>52</v>
      </c>
    </row>
    <row r="199" spans="1:4">
      <c r="A199">
        <v>298</v>
      </c>
      <c r="B199" t="s">
        <v>53</v>
      </c>
      <c r="C199" t="s">
        <v>12</v>
      </c>
      <c r="D199" t="s">
        <v>54</v>
      </c>
    </row>
    <row r="200" spans="1:4">
      <c r="A200">
        <v>299</v>
      </c>
      <c r="B200" t="s">
        <v>55</v>
      </c>
      <c r="C200" t="s">
        <v>15</v>
      </c>
      <c r="D200" t="s">
        <v>44</v>
      </c>
    </row>
    <row r="201" spans="1:4">
      <c r="A201">
        <v>300</v>
      </c>
      <c r="B201" t="s">
        <v>56</v>
      </c>
      <c r="C201" t="s">
        <v>12</v>
      </c>
      <c r="D201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75E0-52D3-4F16-97D8-F7ABAF3088A3}">
  <dimension ref="A1:D201"/>
  <sheetViews>
    <sheetView topLeftCell="A182" workbookViewId="0">
      <selection activeCell="F199" sqref="F199"/>
    </sheetView>
  </sheetViews>
  <sheetFormatPr defaultRowHeight="15"/>
  <cols>
    <col min="2" max="2" width="11.85546875" bestFit="1" customWidth="1"/>
    <col min="3" max="3" width="10.42578125" bestFit="1" customWidth="1"/>
  </cols>
  <sheetData>
    <row r="1" spans="1:4">
      <c r="A1" t="s">
        <v>27</v>
      </c>
      <c r="B1" t="s">
        <v>1</v>
      </c>
      <c r="C1" t="s">
        <v>33</v>
      </c>
      <c r="D1" t="s">
        <v>0</v>
      </c>
    </row>
    <row r="2" spans="1:4">
      <c r="A2">
        <v>1</v>
      </c>
      <c r="B2" t="s">
        <v>21</v>
      </c>
      <c r="C2" t="s">
        <v>40</v>
      </c>
      <c r="D2" t="s">
        <v>18</v>
      </c>
    </row>
    <row r="3" spans="1:4">
      <c r="A3">
        <v>2</v>
      </c>
      <c r="B3" t="s">
        <v>19</v>
      </c>
      <c r="C3" t="s">
        <v>58</v>
      </c>
      <c r="D3" t="s">
        <v>18</v>
      </c>
    </row>
    <row r="4" spans="1:4">
      <c r="A4">
        <v>3</v>
      </c>
      <c r="B4" t="s">
        <v>24</v>
      </c>
      <c r="C4" t="s">
        <v>36</v>
      </c>
      <c r="D4" t="s">
        <v>23</v>
      </c>
    </row>
    <row r="5" spans="1:4">
      <c r="A5">
        <v>4</v>
      </c>
      <c r="B5" t="s">
        <v>25</v>
      </c>
      <c r="C5" t="s">
        <v>37</v>
      </c>
      <c r="D5" t="s">
        <v>23</v>
      </c>
    </row>
    <row r="6" spans="1:4">
      <c r="A6">
        <v>5</v>
      </c>
      <c r="B6" t="s">
        <v>14</v>
      </c>
      <c r="C6" t="s">
        <v>41</v>
      </c>
      <c r="D6" t="s">
        <v>13</v>
      </c>
    </row>
    <row r="7" spans="1:4">
      <c r="A7">
        <v>6</v>
      </c>
      <c r="B7" t="s">
        <v>16</v>
      </c>
      <c r="C7" t="s">
        <v>38</v>
      </c>
      <c r="D7" t="s">
        <v>13</v>
      </c>
    </row>
    <row r="8" spans="1:4">
      <c r="A8">
        <v>7</v>
      </c>
      <c r="B8" t="s">
        <v>8</v>
      </c>
      <c r="C8" t="s">
        <v>39</v>
      </c>
      <c r="D8" t="s">
        <v>7</v>
      </c>
    </row>
    <row r="9" spans="1:4">
      <c r="A9">
        <v>8</v>
      </c>
      <c r="B9" t="s">
        <v>20</v>
      </c>
      <c r="C9" t="s">
        <v>59</v>
      </c>
      <c r="D9" t="s">
        <v>18</v>
      </c>
    </row>
    <row r="10" spans="1:4">
      <c r="A10">
        <v>9</v>
      </c>
      <c r="B10" t="s">
        <v>21</v>
      </c>
      <c r="C10" t="s">
        <v>40</v>
      </c>
      <c r="D10" t="s">
        <v>18</v>
      </c>
    </row>
    <row r="11" spans="1:4">
      <c r="A11">
        <v>10</v>
      </c>
      <c r="B11" t="s">
        <v>19</v>
      </c>
      <c r="C11" t="s">
        <v>58</v>
      </c>
      <c r="D11" t="s">
        <v>18</v>
      </c>
    </row>
    <row r="12" spans="1:4">
      <c r="A12">
        <v>11</v>
      </c>
      <c r="B12" t="s">
        <v>24</v>
      </c>
      <c r="C12" t="s">
        <v>36</v>
      </c>
      <c r="D12" t="s">
        <v>23</v>
      </c>
    </row>
    <row r="13" spans="1:4">
      <c r="A13">
        <v>12</v>
      </c>
      <c r="B13" t="s">
        <v>25</v>
      </c>
      <c r="C13" t="s">
        <v>37</v>
      </c>
      <c r="D13" t="s">
        <v>23</v>
      </c>
    </row>
    <row r="14" spans="1:4">
      <c r="A14">
        <v>13</v>
      </c>
      <c r="B14" t="s">
        <v>14</v>
      </c>
      <c r="C14" t="s">
        <v>41</v>
      </c>
      <c r="D14" t="s">
        <v>13</v>
      </c>
    </row>
    <row r="15" spans="1:4">
      <c r="A15">
        <v>14</v>
      </c>
      <c r="B15" t="s">
        <v>16</v>
      </c>
      <c r="C15" t="s">
        <v>38</v>
      </c>
      <c r="D15" t="s">
        <v>13</v>
      </c>
    </row>
    <row r="16" spans="1:4">
      <c r="A16">
        <v>15</v>
      </c>
      <c r="B16" t="s">
        <v>8</v>
      </c>
      <c r="C16" t="s">
        <v>39</v>
      </c>
      <c r="D16" t="s">
        <v>7</v>
      </c>
    </row>
    <row r="17" spans="1:4">
      <c r="A17">
        <v>16</v>
      </c>
      <c r="B17" t="s">
        <v>20</v>
      </c>
      <c r="C17" t="s">
        <v>59</v>
      </c>
      <c r="D17" t="s">
        <v>18</v>
      </c>
    </row>
    <row r="18" spans="1:4">
      <c r="A18">
        <v>17</v>
      </c>
      <c r="B18" t="s">
        <v>21</v>
      </c>
      <c r="C18" t="s">
        <v>40</v>
      </c>
      <c r="D18" t="s">
        <v>18</v>
      </c>
    </row>
    <row r="19" spans="1:4">
      <c r="A19">
        <v>18</v>
      </c>
      <c r="B19" t="s">
        <v>19</v>
      </c>
      <c r="C19" t="s">
        <v>58</v>
      </c>
      <c r="D19" t="s">
        <v>18</v>
      </c>
    </row>
    <row r="20" spans="1:4">
      <c r="A20">
        <v>19</v>
      </c>
      <c r="B20" t="s">
        <v>24</v>
      </c>
      <c r="C20" t="s">
        <v>36</v>
      </c>
      <c r="D20" t="s">
        <v>23</v>
      </c>
    </row>
    <row r="21" spans="1:4">
      <c r="A21">
        <v>20</v>
      </c>
      <c r="B21" t="s">
        <v>25</v>
      </c>
      <c r="C21" t="s">
        <v>37</v>
      </c>
      <c r="D21" t="s">
        <v>23</v>
      </c>
    </row>
    <row r="22" spans="1:4">
      <c r="A22">
        <v>21</v>
      </c>
      <c r="B22" t="s">
        <v>14</v>
      </c>
      <c r="C22" t="s">
        <v>41</v>
      </c>
      <c r="D22" t="s">
        <v>13</v>
      </c>
    </row>
    <row r="23" spans="1:4">
      <c r="A23">
        <v>22</v>
      </c>
      <c r="B23" t="s">
        <v>16</v>
      </c>
      <c r="C23" t="s">
        <v>38</v>
      </c>
      <c r="D23" t="s">
        <v>13</v>
      </c>
    </row>
    <row r="24" spans="1:4">
      <c r="A24">
        <v>23</v>
      </c>
      <c r="B24" t="s">
        <v>8</v>
      </c>
      <c r="C24" t="s">
        <v>39</v>
      </c>
      <c r="D24" t="s">
        <v>7</v>
      </c>
    </row>
    <row r="25" spans="1:4">
      <c r="A25">
        <v>24</v>
      </c>
      <c r="B25" t="s">
        <v>20</v>
      </c>
      <c r="C25" t="s">
        <v>59</v>
      </c>
      <c r="D25" t="s">
        <v>18</v>
      </c>
    </row>
    <row r="26" spans="1:4">
      <c r="A26">
        <v>25</v>
      </c>
      <c r="B26" t="s">
        <v>21</v>
      </c>
      <c r="C26" t="s">
        <v>40</v>
      </c>
      <c r="D26" t="s">
        <v>18</v>
      </c>
    </row>
    <row r="27" spans="1:4">
      <c r="A27">
        <v>26</v>
      </c>
      <c r="B27" t="s">
        <v>19</v>
      </c>
      <c r="C27" t="s">
        <v>58</v>
      </c>
      <c r="D27" t="s">
        <v>18</v>
      </c>
    </row>
    <row r="28" spans="1:4">
      <c r="A28">
        <v>27</v>
      </c>
      <c r="B28" t="s">
        <v>24</v>
      </c>
      <c r="C28" t="s">
        <v>36</v>
      </c>
      <c r="D28" t="s">
        <v>23</v>
      </c>
    </row>
    <row r="29" spans="1:4">
      <c r="A29">
        <v>28</v>
      </c>
      <c r="B29" t="s">
        <v>25</v>
      </c>
      <c r="C29" t="s">
        <v>37</v>
      </c>
      <c r="D29" t="s">
        <v>23</v>
      </c>
    </row>
    <row r="30" spans="1:4">
      <c r="A30">
        <v>29</v>
      </c>
      <c r="B30" t="s">
        <v>14</v>
      </c>
      <c r="C30" t="s">
        <v>41</v>
      </c>
      <c r="D30" t="s">
        <v>13</v>
      </c>
    </row>
    <row r="31" spans="1:4">
      <c r="A31">
        <v>30</v>
      </c>
      <c r="B31" t="s">
        <v>16</v>
      </c>
      <c r="C31" t="s">
        <v>38</v>
      </c>
      <c r="D31" t="s">
        <v>13</v>
      </c>
    </row>
    <row r="32" spans="1:4">
      <c r="A32">
        <v>31</v>
      </c>
      <c r="B32" t="s">
        <v>8</v>
      </c>
      <c r="C32" t="s">
        <v>39</v>
      </c>
      <c r="D32" t="s">
        <v>7</v>
      </c>
    </row>
    <row r="33" spans="1:4">
      <c r="A33">
        <v>32</v>
      </c>
      <c r="B33" t="s">
        <v>20</v>
      </c>
      <c r="C33" t="s">
        <v>59</v>
      </c>
      <c r="D33" t="s">
        <v>18</v>
      </c>
    </row>
    <row r="34" spans="1:4">
      <c r="A34">
        <v>33</v>
      </c>
      <c r="B34" t="s">
        <v>21</v>
      </c>
      <c r="C34" t="s">
        <v>40</v>
      </c>
      <c r="D34" t="s">
        <v>18</v>
      </c>
    </row>
    <row r="35" spans="1:4">
      <c r="A35">
        <v>34</v>
      </c>
      <c r="B35" t="s">
        <v>19</v>
      </c>
      <c r="C35" t="s">
        <v>58</v>
      </c>
      <c r="D35" t="s">
        <v>18</v>
      </c>
    </row>
    <row r="36" spans="1:4">
      <c r="A36">
        <v>35</v>
      </c>
      <c r="B36" t="s">
        <v>24</v>
      </c>
      <c r="C36" t="s">
        <v>36</v>
      </c>
      <c r="D36" t="s">
        <v>23</v>
      </c>
    </row>
    <row r="37" spans="1:4">
      <c r="A37">
        <v>36</v>
      </c>
      <c r="B37" t="s">
        <v>25</v>
      </c>
      <c r="C37" t="s">
        <v>37</v>
      </c>
      <c r="D37" t="s">
        <v>23</v>
      </c>
    </row>
    <row r="38" spans="1:4">
      <c r="A38">
        <v>37</v>
      </c>
      <c r="B38" t="s">
        <v>14</v>
      </c>
      <c r="C38" t="s">
        <v>41</v>
      </c>
      <c r="D38" t="s">
        <v>13</v>
      </c>
    </row>
    <row r="39" spans="1:4">
      <c r="A39">
        <v>38</v>
      </c>
      <c r="B39" t="s">
        <v>16</v>
      </c>
      <c r="C39" t="s">
        <v>38</v>
      </c>
      <c r="D39" t="s">
        <v>13</v>
      </c>
    </row>
    <row r="40" spans="1:4">
      <c r="A40">
        <v>39</v>
      </c>
      <c r="B40" t="s">
        <v>8</v>
      </c>
      <c r="C40" t="s">
        <v>39</v>
      </c>
      <c r="D40" t="s">
        <v>7</v>
      </c>
    </row>
    <row r="41" spans="1:4">
      <c r="A41">
        <v>40</v>
      </c>
      <c r="B41" t="s">
        <v>20</v>
      </c>
      <c r="C41" t="s">
        <v>59</v>
      </c>
      <c r="D41" t="s">
        <v>18</v>
      </c>
    </row>
    <row r="42" spans="1:4">
      <c r="A42">
        <v>41</v>
      </c>
      <c r="B42" t="s">
        <v>21</v>
      </c>
      <c r="C42" t="s">
        <v>40</v>
      </c>
      <c r="D42" t="s">
        <v>18</v>
      </c>
    </row>
    <row r="43" spans="1:4">
      <c r="A43">
        <v>42</v>
      </c>
      <c r="B43" t="s">
        <v>19</v>
      </c>
      <c r="C43" t="s">
        <v>58</v>
      </c>
      <c r="D43" t="s">
        <v>18</v>
      </c>
    </row>
    <row r="44" spans="1:4">
      <c r="A44">
        <v>43</v>
      </c>
      <c r="B44" t="s">
        <v>24</v>
      </c>
      <c r="C44" t="s">
        <v>36</v>
      </c>
      <c r="D44" t="s">
        <v>23</v>
      </c>
    </row>
    <row r="45" spans="1:4">
      <c r="A45">
        <v>44</v>
      </c>
      <c r="B45" t="s">
        <v>25</v>
      </c>
      <c r="C45" t="s">
        <v>37</v>
      </c>
      <c r="D45" t="s">
        <v>23</v>
      </c>
    </row>
    <row r="46" spans="1:4">
      <c r="A46">
        <v>45</v>
      </c>
      <c r="B46" t="s">
        <v>14</v>
      </c>
      <c r="C46" t="s">
        <v>41</v>
      </c>
      <c r="D46" t="s">
        <v>13</v>
      </c>
    </row>
    <row r="47" spans="1:4">
      <c r="A47">
        <v>46</v>
      </c>
      <c r="B47" t="s">
        <v>16</v>
      </c>
      <c r="C47" t="s">
        <v>38</v>
      </c>
      <c r="D47" t="s">
        <v>13</v>
      </c>
    </row>
    <row r="48" spans="1:4">
      <c r="A48">
        <v>47</v>
      </c>
      <c r="B48" t="s">
        <v>8</v>
      </c>
      <c r="C48" t="s">
        <v>39</v>
      </c>
      <c r="D48" t="s">
        <v>7</v>
      </c>
    </row>
    <row r="49" spans="1:4">
      <c r="A49">
        <v>48</v>
      </c>
      <c r="B49" t="s">
        <v>20</v>
      </c>
      <c r="C49" t="s">
        <v>59</v>
      </c>
      <c r="D49" t="s">
        <v>18</v>
      </c>
    </row>
    <row r="50" spans="1:4">
      <c r="A50">
        <v>49</v>
      </c>
      <c r="B50" t="s">
        <v>21</v>
      </c>
      <c r="C50" t="s">
        <v>40</v>
      </c>
      <c r="D50" t="s">
        <v>18</v>
      </c>
    </row>
    <row r="51" spans="1:4">
      <c r="A51">
        <v>50</v>
      </c>
      <c r="B51" t="s">
        <v>19</v>
      </c>
      <c r="C51" t="s">
        <v>58</v>
      </c>
      <c r="D51" t="s">
        <v>18</v>
      </c>
    </row>
    <row r="52" spans="1:4">
      <c r="A52">
        <v>51</v>
      </c>
      <c r="B52" t="s">
        <v>24</v>
      </c>
      <c r="C52" t="s">
        <v>36</v>
      </c>
      <c r="D52" t="s">
        <v>23</v>
      </c>
    </row>
    <row r="53" spans="1:4">
      <c r="A53">
        <v>52</v>
      </c>
      <c r="B53" t="s">
        <v>25</v>
      </c>
      <c r="C53" t="s">
        <v>37</v>
      </c>
      <c r="D53" t="s">
        <v>23</v>
      </c>
    </row>
    <row r="54" spans="1:4">
      <c r="A54">
        <v>53</v>
      </c>
      <c r="B54" t="s">
        <v>14</v>
      </c>
      <c r="C54" t="s">
        <v>41</v>
      </c>
      <c r="D54" t="s">
        <v>13</v>
      </c>
    </row>
    <row r="55" spans="1:4">
      <c r="A55">
        <v>54</v>
      </c>
      <c r="B55" t="s">
        <v>16</v>
      </c>
      <c r="C55" t="s">
        <v>38</v>
      </c>
      <c r="D55" t="s">
        <v>13</v>
      </c>
    </row>
    <row r="56" spans="1:4">
      <c r="A56">
        <v>55</v>
      </c>
      <c r="B56" t="s">
        <v>8</v>
      </c>
      <c r="C56" t="s">
        <v>39</v>
      </c>
      <c r="D56" t="s">
        <v>7</v>
      </c>
    </row>
    <row r="57" spans="1:4">
      <c r="A57">
        <v>56</v>
      </c>
      <c r="B57" t="s">
        <v>20</v>
      </c>
      <c r="C57" t="s">
        <v>59</v>
      </c>
      <c r="D57" t="s">
        <v>18</v>
      </c>
    </row>
    <row r="58" spans="1:4">
      <c r="A58">
        <v>57</v>
      </c>
      <c r="B58" t="s">
        <v>21</v>
      </c>
      <c r="C58" t="s">
        <v>40</v>
      </c>
      <c r="D58" t="s">
        <v>18</v>
      </c>
    </row>
    <row r="59" spans="1:4">
      <c r="A59">
        <v>58</v>
      </c>
      <c r="B59" t="s">
        <v>19</v>
      </c>
      <c r="C59" t="s">
        <v>58</v>
      </c>
      <c r="D59" t="s">
        <v>18</v>
      </c>
    </row>
    <row r="60" spans="1:4">
      <c r="A60">
        <v>59</v>
      </c>
      <c r="B60" t="s">
        <v>24</v>
      </c>
      <c r="C60" t="s">
        <v>36</v>
      </c>
      <c r="D60" t="s">
        <v>23</v>
      </c>
    </row>
    <row r="61" spans="1:4">
      <c r="A61">
        <v>60</v>
      </c>
      <c r="B61" t="s">
        <v>25</v>
      </c>
      <c r="C61" t="s">
        <v>37</v>
      </c>
      <c r="D61" t="s">
        <v>23</v>
      </c>
    </row>
    <row r="62" spans="1:4">
      <c r="A62">
        <v>61</v>
      </c>
      <c r="B62" t="s">
        <v>14</v>
      </c>
      <c r="C62" t="s">
        <v>41</v>
      </c>
      <c r="D62" t="s">
        <v>13</v>
      </c>
    </row>
    <row r="63" spans="1:4">
      <c r="A63">
        <v>62</v>
      </c>
      <c r="B63" t="s">
        <v>16</v>
      </c>
      <c r="C63" t="s">
        <v>38</v>
      </c>
      <c r="D63" t="s">
        <v>13</v>
      </c>
    </row>
    <row r="64" spans="1:4">
      <c r="A64">
        <v>63</v>
      </c>
      <c r="B64" t="s">
        <v>8</v>
      </c>
      <c r="C64" t="s">
        <v>39</v>
      </c>
      <c r="D64" t="s">
        <v>7</v>
      </c>
    </row>
    <row r="65" spans="1:4">
      <c r="A65">
        <v>64</v>
      </c>
      <c r="B65" t="s">
        <v>20</v>
      </c>
      <c r="C65" t="s">
        <v>59</v>
      </c>
      <c r="D65" t="s">
        <v>18</v>
      </c>
    </row>
    <row r="66" spans="1:4">
      <c r="A66">
        <v>65</v>
      </c>
      <c r="B66" t="s">
        <v>21</v>
      </c>
      <c r="C66" t="s">
        <v>40</v>
      </c>
      <c r="D66" t="s">
        <v>18</v>
      </c>
    </row>
    <row r="67" spans="1:4">
      <c r="A67">
        <v>66</v>
      </c>
      <c r="B67" t="s">
        <v>19</v>
      </c>
      <c r="C67" t="s">
        <v>58</v>
      </c>
      <c r="D67" t="s">
        <v>18</v>
      </c>
    </row>
    <row r="68" spans="1:4">
      <c r="A68">
        <v>67</v>
      </c>
      <c r="B68" t="s">
        <v>24</v>
      </c>
      <c r="C68" t="s">
        <v>36</v>
      </c>
      <c r="D68" t="s">
        <v>23</v>
      </c>
    </row>
    <row r="69" spans="1:4">
      <c r="A69">
        <v>68</v>
      </c>
      <c r="B69" t="s">
        <v>25</v>
      </c>
      <c r="C69" t="s">
        <v>37</v>
      </c>
      <c r="D69" t="s">
        <v>23</v>
      </c>
    </row>
    <row r="70" spans="1:4">
      <c r="A70">
        <v>69</v>
      </c>
      <c r="B70" t="s">
        <v>14</v>
      </c>
      <c r="C70" t="s">
        <v>41</v>
      </c>
      <c r="D70" t="s">
        <v>13</v>
      </c>
    </row>
    <row r="71" spans="1:4">
      <c r="A71">
        <v>70</v>
      </c>
      <c r="B71" t="s">
        <v>16</v>
      </c>
      <c r="C71" t="s">
        <v>38</v>
      </c>
      <c r="D71" t="s">
        <v>13</v>
      </c>
    </row>
    <row r="72" spans="1:4">
      <c r="A72">
        <v>71</v>
      </c>
      <c r="B72" t="s">
        <v>8</v>
      </c>
      <c r="C72" t="s">
        <v>39</v>
      </c>
      <c r="D72" t="s">
        <v>7</v>
      </c>
    </row>
    <row r="73" spans="1:4">
      <c r="A73">
        <v>72</v>
      </c>
      <c r="B73" t="s">
        <v>20</v>
      </c>
      <c r="C73" t="s">
        <v>59</v>
      </c>
      <c r="D73" t="s">
        <v>18</v>
      </c>
    </row>
    <row r="74" spans="1:4">
      <c r="A74">
        <v>73</v>
      </c>
      <c r="B74" t="s">
        <v>21</v>
      </c>
      <c r="C74" t="s">
        <v>40</v>
      </c>
      <c r="D74" t="s">
        <v>18</v>
      </c>
    </row>
    <row r="75" spans="1:4">
      <c r="A75">
        <v>74</v>
      </c>
      <c r="B75" t="s">
        <v>19</v>
      </c>
      <c r="C75" t="s">
        <v>58</v>
      </c>
      <c r="D75" t="s">
        <v>18</v>
      </c>
    </row>
    <row r="76" spans="1:4">
      <c r="A76">
        <v>75</v>
      </c>
      <c r="B76" t="s">
        <v>24</v>
      </c>
      <c r="C76" t="s">
        <v>36</v>
      </c>
      <c r="D76" t="s">
        <v>23</v>
      </c>
    </row>
    <row r="77" spans="1:4">
      <c r="A77">
        <v>76</v>
      </c>
      <c r="B77" t="s">
        <v>25</v>
      </c>
      <c r="C77" t="s">
        <v>37</v>
      </c>
      <c r="D77" t="s">
        <v>23</v>
      </c>
    </row>
    <row r="78" spans="1:4">
      <c r="A78">
        <v>77</v>
      </c>
      <c r="B78" t="s">
        <v>14</v>
      </c>
      <c r="C78" t="s">
        <v>41</v>
      </c>
      <c r="D78" t="s">
        <v>13</v>
      </c>
    </row>
    <row r="79" spans="1:4">
      <c r="A79">
        <v>78</v>
      </c>
      <c r="B79" t="s">
        <v>16</v>
      </c>
      <c r="C79" t="s">
        <v>38</v>
      </c>
      <c r="D79" t="s">
        <v>13</v>
      </c>
    </row>
    <row r="80" spans="1:4">
      <c r="A80">
        <v>79</v>
      </c>
      <c r="B80" t="s">
        <v>8</v>
      </c>
      <c r="C80" t="s">
        <v>39</v>
      </c>
      <c r="D80" t="s">
        <v>7</v>
      </c>
    </row>
    <row r="81" spans="1:4">
      <c r="A81">
        <v>80</v>
      </c>
      <c r="B81" t="s">
        <v>20</v>
      </c>
      <c r="C81" t="s">
        <v>59</v>
      </c>
      <c r="D81" t="s">
        <v>18</v>
      </c>
    </row>
    <row r="82" spans="1:4">
      <c r="A82">
        <v>81</v>
      </c>
      <c r="B82" t="s">
        <v>21</v>
      </c>
      <c r="C82" t="s">
        <v>40</v>
      </c>
      <c r="D82" t="s">
        <v>18</v>
      </c>
    </row>
    <row r="83" spans="1:4">
      <c r="A83">
        <v>82</v>
      </c>
      <c r="B83" t="s">
        <v>19</v>
      </c>
      <c r="C83" t="s">
        <v>58</v>
      </c>
      <c r="D83" t="s">
        <v>18</v>
      </c>
    </row>
    <row r="84" spans="1:4">
      <c r="A84">
        <v>83</v>
      </c>
      <c r="B84" t="s">
        <v>24</v>
      </c>
      <c r="C84" t="s">
        <v>36</v>
      </c>
      <c r="D84" t="s">
        <v>23</v>
      </c>
    </row>
    <row r="85" spans="1:4">
      <c r="A85">
        <v>84</v>
      </c>
      <c r="B85" t="s">
        <v>25</v>
      </c>
      <c r="C85" t="s">
        <v>37</v>
      </c>
      <c r="D85" t="s">
        <v>23</v>
      </c>
    </row>
    <row r="86" spans="1:4">
      <c r="A86">
        <v>85</v>
      </c>
      <c r="B86" t="s">
        <v>14</v>
      </c>
      <c r="C86" t="s">
        <v>41</v>
      </c>
      <c r="D86" t="s">
        <v>13</v>
      </c>
    </row>
    <row r="87" spans="1:4">
      <c r="A87">
        <v>86</v>
      </c>
      <c r="B87" t="s">
        <v>16</v>
      </c>
      <c r="C87" t="s">
        <v>38</v>
      </c>
      <c r="D87" t="s">
        <v>13</v>
      </c>
    </row>
    <row r="88" spans="1:4">
      <c r="A88">
        <v>87</v>
      </c>
      <c r="B88" t="s">
        <v>8</v>
      </c>
      <c r="C88" t="s">
        <v>39</v>
      </c>
      <c r="D88" t="s">
        <v>7</v>
      </c>
    </row>
    <row r="89" spans="1:4">
      <c r="A89">
        <v>88</v>
      </c>
      <c r="B89" t="s">
        <v>20</v>
      </c>
      <c r="C89" t="s">
        <v>59</v>
      </c>
      <c r="D89" t="s">
        <v>18</v>
      </c>
    </row>
    <row r="90" spans="1:4">
      <c r="A90">
        <v>89</v>
      </c>
      <c r="B90" t="s">
        <v>21</v>
      </c>
      <c r="C90" t="s">
        <v>40</v>
      </c>
      <c r="D90" t="s">
        <v>18</v>
      </c>
    </row>
    <row r="91" spans="1:4">
      <c r="A91">
        <v>90</v>
      </c>
      <c r="B91" t="s">
        <v>19</v>
      </c>
      <c r="C91" t="s">
        <v>58</v>
      </c>
      <c r="D91" t="s">
        <v>18</v>
      </c>
    </row>
    <row r="92" spans="1:4">
      <c r="A92">
        <v>91</v>
      </c>
      <c r="B92" t="s">
        <v>24</v>
      </c>
      <c r="C92" t="s">
        <v>36</v>
      </c>
      <c r="D92" t="s">
        <v>23</v>
      </c>
    </row>
    <row r="93" spans="1:4">
      <c r="A93">
        <v>92</v>
      </c>
      <c r="B93" t="s">
        <v>25</v>
      </c>
      <c r="C93" t="s">
        <v>37</v>
      </c>
      <c r="D93" t="s">
        <v>23</v>
      </c>
    </row>
    <row r="94" spans="1:4">
      <c r="A94">
        <v>93</v>
      </c>
      <c r="B94" t="s">
        <v>14</v>
      </c>
      <c r="C94" t="s">
        <v>41</v>
      </c>
      <c r="D94" t="s">
        <v>13</v>
      </c>
    </row>
    <row r="95" spans="1:4">
      <c r="A95">
        <v>94</v>
      </c>
      <c r="B95" t="s">
        <v>16</v>
      </c>
      <c r="C95" t="s">
        <v>38</v>
      </c>
      <c r="D95" t="s">
        <v>13</v>
      </c>
    </row>
    <row r="96" spans="1:4">
      <c r="A96">
        <v>95</v>
      </c>
      <c r="B96" t="s">
        <v>8</v>
      </c>
      <c r="C96" t="s">
        <v>39</v>
      </c>
      <c r="D96" t="s">
        <v>7</v>
      </c>
    </row>
    <row r="97" spans="1:4">
      <c r="A97">
        <v>96</v>
      </c>
      <c r="B97" t="s">
        <v>20</v>
      </c>
      <c r="C97" t="s">
        <v>59</v>
      </c>
      <c r="D97" t="s">
        <v>18</v>
      </c>
    </row>
    <row r="98" spans="1:4">
      <c r="A98">
        <v>97</v>
      </c>
      <c r="B98" t="s">
        <v>21</v>
      </c>
      <c r="C98" t="s">
        <v>40</v>
      </c>
      <c r="D98" t="s">
        <v>18</v>
      </c>
    </row>
    <row r="99" spans="1:4">
      <c r="A99">
        <v>98</v>
      </c>
      <c r="B99" t="s">
        <v>19</v>
      </c>
      <c r="C99" t="s">
        <v>58</v>
      </c>
      <c r="D99" t="s">
        <v>18</v>
      </c>
    </row>
    <row r="100" spans="1:4">
      <c r="A100">
        <v>99</v>
      </c>
      <c r="B100" t="s">
        <v>24</v>
      </c>
      <c r="C100" t="s">
        <v>36</v>
      </c>
      <c r="D100" t="s">
        <v>23</v>
      </c>
    </row>
    <row r="101" spans="1:4">
      <c r="A101">
        <v>100</v>
      </c>
      <c r="B101" t="s">
        <v>25</v>
      </c>
      <c r="C101" t="s">
        <v>37</v>
      </c>
      <c r="D101" t="s">
        <v>23</v>
      </c>
    </row>
    <row r="102" spans="1:4">
      <c r="A102">
        <v>101</v>
      </c>
      <c r="B102" t="s">
        <v>14</v>
      </c>
      <c r="C102" t="s">
        <v>41</v>
      </c>
      <c r="D102" t="s">
        <v>13</v>
      </c>
    </row>
    <row r="103" spans="1:4">
      <c r="A103">
        <v>102</v>
      </c>
      <c r="B103" t="s">
        <v>16</v>
      </c>
      <c r="C103" t="s">
        <v>38</v>
      </c>
      <c r="D103" t="s">
        <v>13</v>
      </c>
    </row>
    <row r="104" spans="1:4">
      <c r="A104">
        <v>103</v>
      </c>
      <c r="B104" t="s">
        <v>8</v>
      </c>
      <c r="C104" t="s">
        <v>39</v>
      </c>
      <c r="D104" t="s">
        <v>7</v>
      </c>
    </row>
    <row r="105" spans="1:4">
      <c r="A105">
        <v>104</v>
      </c>
      <c r="B105" t="s">
        <v>20</v>
      </c>
      <c r="C105" t="s">
        <v>59</v>
      </c>
      <c r="D105" t="s">
        <v>18</v>
      </c>
    </row>
    <row r="106" spans="1:4">
      <c r="A106">
        <v>105</v>
      </c>
      <c r="B106" t="s">
        <v>21</v>
      </c>
      <c r="C106" t="s">
        <v>40</v>
      </c>
      <c r="D106" t="s">
        <v>18</v>
      </c>
    </row>
    <row r="107" spans="1:4">
      <c r="A107">
        <v>106</v>
      </c>
      <c r="B107" t="s">
        <v>19</v>
      </c>
      <c r="C107" t="s">
        <v>58</v>
      </c>
      <c r="D107" t="s">
        <v>18</v>
      </c>
    </row>
    <row r="108" spans="1:4">
      <c r="A108">
        <v>107</v>
      </c>
      <c r="B108" t="s">
        <v>24</v>
      </c>
      <c r="C108" t="s">
        <v>36</v>
      </c>
      <c r="D108" t="s">
        <v>23</v>
      </c>
    </row>
    <row r="109" spans="1:4">
      <c r="A109">
        <v>108</v>
      </c>
      <c r="B109" t="s">
        <v>25</v>
      </c>
      <c r="C109" t="s">
        <v>37</v>
      </c>
      <c r="D109" t="s">
        <v>23</v>
      </c>
    </row>
    <row r="110" spans="1:4">
      <c r="A110">
        <v>109</v>
      </c>
      <c r="B110" t="s">
        <v>14</v>
      </c>
      <c r="C110" t="s">
        <v>41</v>
      </c>
      <c r="D110" t="s">
        <v>13</v>
      </c>
    </row>
    <row r="111" spans="1:4">
      <c r="A111">
        <v>110</v>
      </c>
      <c r="B111" t="s">
        <v>16</v>
      </c>
      <c r="C111" t="s">
        <v>38</v>
      </c>
      <c r="D111" t="s">
        <v>13</v>
      </c>
    </row>
    <row r="112" spans="1:4">
      <c r="A112">
        <v>111</v>
      </c>
      <c r="B112" t="s">
        <v>8</v>
      </c>
      <c r="C112" t="s">
        <v>39</v>
      </c>
      <c r="D112" t="s">
        <v>7</v>
      </c>
    </row>
    <row r="113" spans="1:4">
      <c r="A113">
        <v>112</v>
      </c>
      <c r="B113" t="s">
        <v>20</v>
      </c>
      <c r="C113" t="s">
        <v>59</v>
      </c>
      <c r="D113" t="s">
        <v>18</v>
      </c>
    </row>
    <row r="114" spans="1:4">
      <c r="A114">
        <v>113</v>
      </c>
      <c r="B114" t="s">
        <v>21</v>
      </c>
      <c r="C114" t="s">
        <v>40</v>
      </c>
      <c r="D114" t="s">
        <v>18</v>
      </c>
    </row>
    <row r="115" spans="1:4">
      <c r="A115">
        <v>114</v>
      </c>
      <c r="B115" t="s">
        <v>19</v>
      </c>
      <c r="C115" t="s">
        <v>58</v>
      </c>
      <c r="D115" t="s">
        <v>18</v>
      </c>
    </row>
    <row r="116" spans="1:4">
      <c r="A116">
        <v>115</v>
      </c>
      <c r="B116" t="s">
        <v>24</v>
      </c>
      <c r="C116" t="s">
        <v>36</v>
      </c>
      <c r="D116" t="s">
        <v>23</v>
      </c>
    </row>
    <row r="117" spans="1:4">
      <c r="A117">
        <v>116</v>
      </c>
      <c r="B117" t="s">
        <v>25</v>
      </c>
      <c r="C117" t="s">
        <v>37</v>
      </c>
      <c r="D117" t="s">
        <v>23</v>
      </c>
    </row>
    <row r="118" spans="1:4">
      <c r="A118">
        <v>117</v>
      </c>
      <c r="B118" t="s">
        <v>14</v>
      </c>
      <c r="C118" t="s">
        <v>41</v>
      </c>
      <c r="D118" t="s">
        <v>13</v>
      </c>
    </row>
    <row r="119" spans="1:4">
      <c r="A119">
        <v>118</v>
      </c>
      <c r="B119" t="s">
        <v>16</v>
      </c>
      <c r="C119" t="s">
        <v>38</v>
      </c>
      <c r="D119" t="s">
        <v>13</v>
      </c>
    </row>
    <row r="120" spans="1:4">
      <c r="A120">
        <v>119</v>
      </c>
      <c r="B120" t="s">
        <v>8</v>
      </c>
      <c r="C120" t="s">
        <v>39</v>
      </c>
      <c r="D120" t="s">
        <v>7</v>
      </c>
    </row>
    <row r="121" spans="1:4">
      <c r="A121">
        <v>120</v>
      </c>
      <c r="B121" t="s">
        <v>20</v>
      </c>
      <c r="C121" t="s">
        <v>59</v>
      </c>
      <c r="D121" t="s">
        <v>18</v>
      </c>
    </row>
    <row r="122" spans="1:4">
      <c r="A122">
        <v>121</v>
      </c>
      <c r="B122" t="s">
        <v>21</v>
      </c>
      <c r="C122" t="s">
        <v>40</v>
      </c>
      <c r="D122" t="s">
        <v>18</v>
      </c>
    </row>
    <row r="123" spans="1:4">
      <c r="A123">
        <v>122</v>
      </c>
      <c r="B123" t="s">
        <v>19</v>
      </c>
      <c r="C123" t="s">
        <v>58</v>
      </c>
      <c r="D123" t="s">
        <v>18</v>
      </c>
    </row>
    <row r="124" spans="1:4">
      <c r="A124">
        <v>123</v>
      </c>
      <c r="B124" t="s">
        <v>24</v>
      </c>
      <c r="C124" t="s">
        <v>36</v>
      </c>
      <c r="D124" t="s">
        <v>23</v>
      </c>
    </row>
    <row r="125" spans="1:4">
      <c r="A125">
        <v>124</v>
      </c>
      <c r="B125" t="s">
        <v>25</v>
      </c>
      <c r="C125" t="s">
        <v>37</v>
      </c>
      <c r="D125" t="s">
        <v>23</v>
      </c>
    </row>
    <row r="126" spans="1:4">
      <c r="A126">
        <v>125</v>
      </c>
      <c r="B126" t="s">
        <v>14</v>
      </c>
      <c r="C126" t="s">
        <v>41</v>
      </c>
      <c r="D126" t="s">
        <v>13</v>
      </c>
    </row>
    <row r="127" spans="1:4">
      <c r="A127">
        <v>126</v>
      </c>
      <c r="B127" t="s">
        <v>16</v>
      </c>
      <c r="C127" t="s">
        <v>38</v>
      </c>
      <c r="D127" t="s">
        <v>13</v>
      </c>
    </row>
    <row r="128" spans="1:4">
      <c r="A128">
        <v>127</v>
      </c>
      <c r="B128" t="s">
        <v>8</v>
      </c>
      <c r="C128" t="s">
        <v>39</v>
      </c>
      <c r="D128" t="s">
        <v>7</v>
      </c>
    </row>
    <row r="129" spans="1:4">
      <c r="A129">
        <v>128</v>
      </c>
      <c r="B129" t="s">
        <v>20</v>
      </c>
      <c r="C129" t="s">
        <v>59</v>
      </c>
      <c r="D129" t="s">
        <v>18</v>
      </c>
    </row>
    <row r="130" spans="1:4">
      <c r="A130">
        <v>129</v>
      </c>
      <c r="B130" t="s">
        <v>21</v>
      </c>
      <c r="C130" t="s">
        <v>40</v>
      </c>
      <c r="D130" t="s">
        <v>18</v>
      </c>
    </row>
    <row r="131" spans="1:4">
      <c r="A131">
        <v>130</v>
      </c>
      <c r="B131" t="s">
        <v>19</v>
      </c>
      <c r="C131" t="s">
        <v>58</v>
      </c>
      <c r="D131" t="s">
        <v>18</v>
      </c>
    </row>
    <row r="132" spans="1:4">
      <c r="A132">
        <v>131</v>
      </c>
      <c r="B132" t="s">
        <v>24</v>
      </c>
      <c r="C132" t="s">
        <v>36</v>
      </c>
      <c r="D132" t="s">
        <v>23</v>
      </c>
    </row>
    <row r="133" spans="1:4">
      <c r="A133">
        <v>132</v>
      </c>
      <c r="B133" t="s">
        <v>25</v>
      </c>
      <c r="C133" t="s">
        <v>37</v>
      </c>
      <c r="D133" t="s">
        <v>23</v>
      </c>
    </row>
    <row r="134" spans="1:4">
      <c r="A134">
        <v>133</v>
      </c>
      <c r="B134" t="s">
        <v>14</v>
      </c>
      <c r="C134" t="s">
        <v>41</v>
      </c>
      <c r="D134" t="s">
        <v>13</v>
      </c>
    </row>
    <row r="135" spans="1:4">
      <c r="A135">
        <v>134</v>
      </c>
      <c r="B135" t="s">
        <v>16</v>
      </c>
      <c r="C135" t="s">
        <v>38</v>
      </c>
      <c r="D135" t="s">
        <v>13</v>
      </c>
    </row>
    <row r="136" spans="1:4">
      <c r="A136">
        <v>135</v>
      </c>
      <c r="B136" t="s">
        <v>8</v>
      </c>
      <c r="C136" t="s">
        <v>39</v>
      </c>
      <c r="D136" t="s">
        <v>7</v>
      </c>
    </row>
    <row r="137" spans="1:4">
      <c r="A137">
        <v>136</v>
      </c>
      <c r="B137" t="s">
        <v>20</v>
      </c>
      <c r="C137" t="s">
        <v>59</v>
      </c>
      <c r="D137" t="s">
        <v>18</v>
      </c>
    </row>
    <row r="138" spans="1:4">
      <c r="A138">
        <v>137</v>
      </c>
      <c r="B138" t="s">
        <v>21</v>
      </c>
      <c r="C138" t="s">
        <v>40</v>
      </c>
      <c r="D138" t="s">
        <v>18</v>
      </c>
    </row>
    <row r="139" spans="1:4">
      <c r="A139">
        <v>138</v>
      </c>
      <c r="B139" t="s">
        <v>19</v>
      </c>
      <c r="C139" t="s">
        <v>58</v>
      </c>
      <c r="D139" t="s">
        <v>18</v>
      </c>
    </row>
    <row r="140" spans="1:4">
      <c r="A140">
        <v>139</v>
      </c>
      <c r="B140" t="s">
        <v>24</v>
      </c>
      <c r="C140" t="s">
        <v>36</v>
      </c>
      <c r="D140" t="s">
        <v>23</v>
      </c>
    </row>
    <row r="141" spans="1:4">
      <c r="A141">
        <v>140</v>
      </c>
      <c r="B141" t="s">
        <v>25</v>
      </c>
      <c r="C141" t="s">
        <v>37</v>
      </c>
      <c r="D141" t="s">
        <v>23</v>
      </c>
    </row>
    <row r="142" spans="1:4">
      <c r="A142">
        <v>141</v>
      </c>
      <c r="B142" t="s">
        <v>14</v>
      </c>
      <c r="C142" t="s">
        <v>41</v>
      </c>
      <c r="D142" t="s">
        <v>13</v>
      </c>
    </row>
    <row r="143" spans="1:4">
      <c r="A143">
        <v>142</v>
      </c>
      <c r="B143" t="s">
        <v>16</v>
      </c>
      <c r="C143" t="s">
        <v>38</v>
      </c>
      <c r="D143" t="s">
        <v>13</v>
      </c>
    </row>
    <row r="144" spans="1:4">
      <c r="A144">
        <v>143</v>
      </c>
      <c r="B144" t="s">
        <v>8</v>
      </c>
      <c r="C144" t="s">
        <v>39</v>
      </c>
      <c r="D144" t="s">
        <v>7</v>
      </c>
    </row>
    <row r="145" spans="1:4">
      <c r="A145">
        <v>144</v>
      </c>
      <c r="B145" t="s">
        <v>20</v>
      </c>
      <c r="C145" t="s">
        <v>59</v>
      </c>
      <c r="D145" t="s">
        <v>18</v>
      </c>
    </row>
    <row r="146" spans="1:4">
      <c r="A146">
        <v>145</v>
      </c>
      <c r="B146" t="s">
        <v>21</v>
      </c>
      <c r="C146" t="s">
        <v>40</v>
      </c>
      <c r="D146" t="s">
        <v>18</v>
      </c>
    </row>
    <row r="147" spans="1:4">
      <c r="A147">
        <v>146</v>
      </c>
      <c r="B147" t="s">
        <v>19</v>
      </c>
      <c r="C147" t="s">
        <v>58</v>
      </c>
      <c r="D147" t="s">
        <v>18</v>
      </c>
    </row>
    <row r="148" spans="1:4">
      <c r="A148">
        <v>147</v>
      </c>
      <c r="B148" t="s">
        <v>24</v>
      </c>
      <c r="C148" t="s">
        <v>36</v>
      </c>
      <c r="D148" t="s">
        <v>23</v>
      </c>
    </row>
    <row r="149" spans="1:4">
      <c r="A149">
        <v>148</v>
      </c>
      <c r="B149" t="s">
        <v>25</v>
      </c>
      <c r="C149" t="s">
        <v>37</v>
      </c>
      <c r="D149" t="s">
        <v>23</v>
      </c>
    </row>
    <row r="150" spans="1:4">
      <c r="A150">
        <v>149</v>
      </c>
      <c r="B150" t="s">
        <v>14</v>
      </c>
      <c r="C150" t="s">
        <v>41</v>
      </c>
      <c r="D150" t="s">
        <v>13</v>
      </c>
    </row>
    <row r="151" spans="1:4">
      <c r="A151">
        <v>150</v>
      </c>
      <c r="B151" t="s">
        <v>16</v>
      </c>
      <c r="C151" t="s">
        <v>38</v>
      </c>
      <c r="D151" t="s">
        <v>13</v>
      </c>
    </row>
    <row r="152" spans="1:4">
      <c r="A152">
        <v>151</v>
      </c>
      <c r="B152" t="s">
        <v>8</v>
      </c>
      <c r="C152" t="s">
        <v>39</v>
      </c>
      <c r="D152" t="s">
        <v>7</v>
      </c>
    </row>
    <row r="153" spans="1:4">
      <c r="A153">
        <v>152</v>
      </c>
      <c r="B153" t="s">
        <v>20</v>
      </c>
      <c r="C153" t="s">
        <v>59</v>
      </c>
      <c r="D153" t="s">
        <v>18</v>
      </c>
    </row>
    <row r="154" spans="1:4">
      <c r="A154">
        <v>153</v>
      </c>
      <c r="B154" t="s">
        <v>21</v>
      </c>
      <c r="C154" t="s">
        <v>40</v>
      </c>
      <c r="D154" t="s">
        <v>18</v>
      </c>
    </row>
    <row r="155" spans="1:4">
      <c r="A155">
        <v>154</v>
      </c>
      <c r="B155" t="s">
        <v>19</v>
      </c>
      <c r="C155" t="s">
        <v>58</v>
      </c>
      <c r="D155" t="s">
        <v>18</v>
      </c>
    </row>
    <row r="156" spans="1:4">
      <c r="A156">
        <v>155</v>
      </c>
      <c r="B156" t="s">
        <v>24</v>
      </c>
      <c r="C156" t="s">
        <v>36</v>
      </c>
      <c r="D156" t="s">
        <v>23</v>
      </c>
    </row>
    <row r="157" spans="1:4">
      <c r="A157">
        <v>156</v>
      </c>
      <c r="B157" t="s">
        <v>25</v>
      </c>
      <c r="C157" t="s">
        <v>37</v>
      </c>
      <c r="D157" t="s">
        <v>23</v>
      </c>
    </row>
    <row r="158" spans="1:4">
      <c r="A158">
        <v>157</v>
      </c>
      <c r="B158" t="s">
        <v>14</v>
      </c>
      <c r="C158" t="s">
        <v>41</v>
      </c>
      <c r="D158" t="s">
        <v>13</v>
      </c>
    </row>
    <row r="159" spans="1:4">
      <c r="A159">
        <v>158</v>
      </c>
      <c r="B159" t="s">
        <v>16</v>
      </c>
      <c r="C159" t="s">
        <v>38</v>
      </c>
      <c r="D159" t="s">
        <v>13</v>
      </c>
    </row>
    <row r="160" spans="1:4">
      <c r="A160">
        <v>159</v>
      </c>
      <c r="B160" t="s">
        <v>8</v>
      </c>
      <c r="C160" t="s">
        <v>39</v>
      </c>
      <c r="D160" t="s">
        <v>7</v>
      </c>
    </row>
    <row r="161" spans="1:4">
      <c r="A161">
        <v>160</v>
      </c>
      <c r="B161" t="s">
        <v>20</v>
      </c>
      <c r="C161" t="s">
        <v>59</v>
      </c>
      <c r="D161" t="s">
        <v>18</v>
      </c>
    </row>
    <row r="162" spans="1:4">
      <c r="A162">
        <v>161</v>
      </c>
      <c r="B162" t="s">
        <v>21</v>
      </c>
      <c r="C162" t="s">
        <v>40</v>
      </c>
      <c r="D162" t="s">
        <v>18</v>
      </c>
    </row>
    <row r="163" spans="1:4">
      <c r="A163">
        <v>162</v>
      </c>
      <c r="B163" t="s">
        <v>19</v>
      </c>
      <c r="C163" t="s">
        <v>58</v>
      </c>
      <c r="D163" t="s">
        <v>18</v>
      </c>
    </row>
    <row r="164" spans="1:4">
      <c r="A164">
        <v>163</v>
      </c>
      <c r="B164" t="s">
        <v>24</v>
      </c>
      <c r="C164" t="s">
        <v>36</v>
      </c>
      <c r="D164" t="s">
        <v>23</v>
      </c>
    </row>
    <row r="165" spans="1:4">
      <c r="A165">
        <v>164</v>
      </c>
      <c r="B165" t="s">
        <v>25</v>
      </c>
      <c r="C165" t="s">
        <v>37</v>
      </c>
      <c r="D165" t="s">
        <v>23</v>
      </c>
    </row>
    <row r="166" spans="1:4">
      <c r="A166">
        <v>165</v>
      </c>
      <c r="B166" t="s">
        <v>14</v>
      </c>
      <c r="C166" t="s">
        <v>41</v>
      </c>
      <c r="D166" t="s">
        <v>13</v>
      </c>
    </row>
    <row r="167" spans="1:4">
      <c r="A167">
        <v>166</v>
      </c>
      <c r="B167" t="s">
        <v>16</v>
      </c>
      <c r="C167" t="s">
        <v>38</v>
      </c>
      <c r="D167" t="s">
        <v>13</v>
      </c>
    </row>
    <row r="168" spans="1:4">
      <c r="A168">
        <v>167</v>
      </c>
      <c r="B168" t="s">
        <v>8</v>
      </c>
      <c r="C168" t="s">
        <v>39</v>
      </c>
      <c r="D168" t="s">
        <v>7</v>
      </c>
    </row>
    <row r="169" spans="1:4">
      <c r="A169">
        <v>168</v>
      </c>
      <c r="B169" t="s">
        <v>20</v>
      </c>
      <c r="C169" t="s">
        <v>59</v>
      </c>
      <c r="D169" t="s">
        <v>18</v>
      </c>
    </row>
    <row r="170" spans="1:4">
      <c r="A170">
        <v>169</v>
      </c>
      <c r="B170" t="s">
        <v>21</v>
      </c>
      <c r="C170" t="s">
        <v>40</v>
      </c>
      <c r="D170" t="s">
        <v>18</v>
      </c>
    </row>
    <row r="171" spans="1:4">
      <c r="A171">
        <v>170</v>
      </c>
      <c r="B171" t="s">
        <v>19</v>
      </c>
      <c r="C171" t="s">
        <v>58</v>
      </c>
      <c r="D171" t="s">
        <v>18</v>
      </c>
    </row>
    <row r="172" spans="1:4">
      <c r="A172">
        <v>171</v>
      </c>
      <c r="B172" t="s">
        <v>24</v>
      </c>
      <c r="C172" t="s">
        <v>36</v>
      </c>
      <c r="D172" t="s">
        <v>23</v>
      </c>
    </row>
    <row r="173" spans="1:4">
      <c r="A173">
        <v>172</v>
      </c>
      <c r="B173" t="s">
        <v>25</v>
      </c>
      <c r="C173" t="s">
        <v>37</v>
      </c>
      <c r="D173" t="s">
        <v>23</v>
      </c>
    </row>
    <row r="174" spans="1:4">
      <c r="A174">
        <v>173</v>
      </c>
      <c r="B174" t="s">
        <v>14</v>
      </c>
      <c r="C174" t="s">
        <v>41</v>
      </c>
      <c r="D174" t="s">
        <v>13</v>
      </c>
    </row>
    <row r="175" spans="1:4">
      <c r="A175">
        <v>174</v>
      </c>
      <c r="B175" t="s">
        <v>16</v>
      </c>
      <c r="C175" t="s">
        <v>38</v>
      </c>
      <c r="D175" t="s">
        <v>13</v>
      </c>
    </row>
    <row r="176" spans="1:4">
      <c r="A176">
        <v>175</v>
      </c>
      <c r="B176" t="s">
        <v>8</v>
      </c>
      <c r="C176" t="s">
        <v>39</v>
      </c>
      <c r="D176" t="s">
        <v>7</v>
      </c>
    </row>
    <row r="177" spans="1:4">
      <c r="A177">
        <v>176</v>
      </c>
      <c r="B177" t="s">
        <v>20</v>
      </c>
      <c r="C177" t="s">
        <v>59</v>
      </c>
      <c r="D177" t="s">
        <v>18</v>
      </c>
    </row>
    <row r="178" spans="1:4">
      <c r="A178">
        <v>177</v>
      </c>
      <c r="B178" t="s">
        <v>21</v>
      </c>
      <c r="C178" t="s">
        <v>40</v>
      </c>
      <c r="D178" t="s">
        <v>18</v>
      </c>
    </row>
    <row r="179" spans="1:4">
      <c r="A179">
        <v>178</v>
      </c>
      <c r="B179" t="s">
        <v>19</v>
      </c>
      <c r="C179" t="s">
        <v>58</v>
      </c>
      <c r="D179" t="s">
        <v>18</v>
      </c>
    </row>
    <row r="180" spans="1:4">
      <c r="A180">
        <v>179</v>
      </c>
      <c r="B180" t="s">
        <v>24</v>
      </c>
      <c r="C180" t="s">
        <v>36</v>
      </c>
      <c r="D180" t="s">
        <v>23</v>
      </c>
    </row>
    <row r="181" spans="1:4">
      <c r="A181">
        <v>180</v>
      </c>
      <c r="B181" t="s">
        <v>25</v>
      </c>
      <c r="C181" t="s">
        <v>37</v>
      </c>
      <c r="D181" t="s">
        <v>23</v>
      </c>
    </row>
    <row r="182" spans="1:4">
      <c r="A182">
        <v>181</v>
      </c>
      <c r="B182" t="s">
        <v>14</v>
      </c>
      <c r="C182" t="s">
        <v>41</v>
      </c>
      <c r="D182" t="s">
        <v>13</v>
      </c>
    </row>
    <row r="183" spans="1:4">
      <c r="A183">
        <v>182</v>
      </c>
      <c r="B183" t="s">
        <v>16</v>
      </c>
      <c r="C183" t="s">
        <v>38</v>
      </c>
      <c r="D183" t="s">
        <v>13</v>
      </c>
    </row>
    <row r="184" spans="1:4">
      <c r="A184">
        <v>183</v>
      </c>
      <c r="B184" t="s">
        <v>8</v>
      </c>
      <c r="C184" t="s">
        <v>39</v>
      </c>
      <c r="D184" t="s">
        <v>7</v>
      </c>
    </row>
    <row r="185" spans="1:4">
      <c r="A185">
        <v>184</v>
      </c>
      <c r="B185" t="s">
        <v>20</v>
      </c>
      <c r="C185" t="s">
        <v>59</v>
      </c>
      <c r="D185" t="s">
        <v>18</v>
      </c>
    </row>
    <row r="186" spans="1:4">
      <c r="A186">
        <v>185</v>
      </c>
      <c r="B186" t="s">
        <v>21</v>
      </c>
      <c r="C186" t="s">
        <v>40</v>
      </c>
      <c r="D186" t="s">
        <v>18</v>
      </c>
    </row>
    <row r="187" spans="1:4">
      <c r="A187">
        <v>186</v>
      </c>
      <c r="B187" t="s">
        <v>19</v>
      </c>
      <c r="C187" t="s">
        <v>58</v>
      </c>
      <c r="D187" t="s">
        <v>18</v>
      </c>
    </row>
    <row r="188" spans="1:4">
      <c r="A188">
        <v>187</v>
      </c>
      <c r="B188" t="s">
        <v>24</v>
      </c>
      <c r="C188" t="s">
        <v>36</v>
      </c>
      <c r="D188" t="s">
        <v>23</v>
      </c>
    </row>
    <row r="189" spans="1:4">
      <c r="A189">
        <v>188</v>
      </c>
      <c r="B189" t="s">
        <v>25</v>
      </c>
      <c r="C189" t="s">
        <v>37</v>
      </c>
      <c r="D189" t="s">
        <v>23</v>
      </c>
    </row>
    <row r="190" spans="1:4">
      <c r="A190">
        <v>189</v>
      </c>
      <c r="B190" t="s">
        <v>14</v>
      </c>
      <c r="C190" t="s">
        <v>41</v>
      </c>
      <c r="D190" t="s">
        <v>13</v>
      </c>
    </row>
    <row r="191" spans="1:4">
      <c r="A191">
        <v>190</v>
      </c>
      <c r="B191" t="s">
        <v>16</v>
      </c>
      <c r="C191" t="s">
        <v>38</v>
      </c>
      <c r="D191" t="s">
        <v>13</v>
      </c>
    </row>
    <row r="192" spans="1:4">
      <c r="A192">
        <v>191</v>
      </c>
      <c r="B192" t="s">
        <v>8</v>
      </c>
      <c r="C192" t="s">
        <v>39</v>
      </c>
      <c r="D192" t="s">
        <v>7</v>
      </c>
    </row>
    <row r="193" spans="1:4">
      <c r="A193">
        <v>192</v>
      </c>
      <c r="B193" t="s">
        <v>20</v>
      </c>
      <c r="C193" t="s">
        <v>59</v>
      </c>
      <c r="D193" t="s">
        <v>18</v>
      </c>
    </row>
    <row r="194" spans="1:4">
      <c r="A194">
        <v>193</v>
      </c>
      <c r="B194" t="s">
        <v>21</v>
      </c>
      <c r="C194" t="s">
        <v>40</v>
      </c>
      <c r="D194" t="s">
        <v>18</v>
      </c>
    </row>
    <row r="195" spans="1:4">
      <c r="A195">
        <v>194</v>
      </c>
      <c r="B195" t="s">
        <v>19</v>
      </c>
      <c r="C195" t="s">
        <v>58</v>
      </c>
      <c r="D195" t="s">
        <v>18</v>
      </c>
    </row>
    <row r="196" spans="1:4">
      <c r="A196">
        <v>195</v>
      </c>
      <c r="B196" t="s">
        <v>24</v>
      </c>
      <c r="C196" t="s">
        <v>36</v>
      </c>
      <c r="D196" t="s">
        <v>23</v>
      </c>
    </row>
    <row r="197" spans="1:4">
      <c r="A197">
        <v>196</v>
      </c>
      <c r="B197" t="s">
        <v>25</v>
      </c>
      <c r="C197" t="s">
        <v>37</v>
      </c>
      <c r="D197" t="s">
        <v>23</v>
      </c>
    </row>
    <row r="198" spans="1:4">
      <c r="A198">
        <v>197</v>
      </c>
      <c r="B198" t="s">
        <v>14</v>
      </c>
      <c r="C198" t="s">
        <v>41</v>
      </c>
      <c r="D198" t="s">
        <v>13</v>
      </c>
    </row>
    <row r="199" spans="1:4">
      <c r="A199">
        <v>198</v>
      </c>
      <c r="B199" t="s">
        <v>16</v>
      </c>
      <c r="C199" t="s">
        <v>38</v>
      </c>
      <c r="D199" t="s">
        <v>13</v>
      </c>
    </row>
    <row r="200" spans="1:4">
      <c r="A200">
        <v>199</v>
      </c>
      <c r="B200" t="s">
        <v>8</v>
      </c>
      <c r="C200" t="s">
        <v>39</v>
      </c>
      <c r="D200" t="s">
        <v>7</v>
      </c>
    </row>
    <row r="201" spans="1:4">
      <c r="A201">
        <v>200</v>
      </c>
      <c r="B201" t="s">
        <v>20</v>
      </c>
      <c r="C201" t="s">
        <v>59</v>
      </c>
      <c r="D2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2026-05-05T09:55:05Z</dcterms:created>
  <dcterms:modified xsi:type="dcterms:W3CDTF">2026-05-05T16:20:35Z</dcterms:modified>
  <cp:category/>
  <cp:contentStatus/>
</cp:coreProperties>
</file>