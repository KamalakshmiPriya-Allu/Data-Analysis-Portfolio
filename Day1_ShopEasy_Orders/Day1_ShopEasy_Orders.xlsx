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D378319C-3F64-4964-992C-AABCB21A0E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3" i="1" l="1"/>
  <c r="B62" i="1"/>
  <c r="B61" i="1"/>
  <c r="B60" i="1"/>
  <c r="E56" i="1"/>
  <c r="F9" i="1"/>
  <c r="F4" i="1"/>
  <c r="F5" i="1"/>
  <c r="F6" i="1"/>
  <c r="F7" i="1"/>
  <c r="F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3" i="1"/>
  <c r="F55" i="1" s="1"/>
  <c r="E5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3" i="1"/>
  <c r="G57" i="1" s="1"/>
</calcChain>
</file>

<file path=xl/sharedStrings.xml><?xml version="1.0" encoding="utf-8"?>
<sst xmlns="http://schemas.openxmlformats.org/spreadsheetml/2006/main" count="120" uniqueCount="23">
  <si>
    <t>ShopEasy — Monthly Order Report</t>
  </si>
  <si>
    <t>ORDER_ID</t>
  </si>
  <si>
    <t>DATE</t>
  </si>
  <si>
    <t>CITY</t>
  </si>
  <si>
    <t>PRODUCT_CATEGORY</t>
  </si>
  <si>
    <t>SALES_AMOUNT</t>
  </si>
  <si>
    <t>PROFIT</t>
  </si>
  <si>
    <t>Order_Size</t>
  </si>
  <si>
    <t>Hyderabad</t>
  </si>
  <si>
    <t>Electronics</t>
  </si>
  <si>
    <t>Vizag</t>
  </si>
  <si>
    <t>Accessories</t>
  </si>
  <si>
    <t>Chennai</t>
  </si>
  <si>
    <t>Home</t>
  </si>
  <si>
    <t>Bangalore</t>
  </si>
  <si>
    <t>Clothing</t>
  </si>
  <si>
    <t>Total_Sales</t>
  </si>
  <si>
    <t>Total Profit</t>
  </si>
  <si>
    <t>Average Order Value</t>
  </si>
  <si>
    <t>Large Orders Count</t>
  </si>
  <si>
    <t>City</t>
  </si>
  <si>
    <t>Order_Count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</si>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</sst>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Courier New"/>
      <charset val="1"/>
    </font>
    <font>
      <b/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Sheet1!$B$59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Sheet1!$A$60:$A$63</c:f>
              <c:strCache>
                <c:ptCount val="4"/>
                <c:pt idx="0">
                  <c:v>Hyderabad</c:v>
                </c:pt>
                <c:pt idx="1">
                  <c:v>Vizag</c:v>
                </c:pt>
                <c:pt idx="2">
                  <c:v>Chennai</c:v>
                </c:pt>
                <c:pt idx="3">
                  <c:v>Banglore</c:v>
                </c:pt>
              </c:strCache>
            </c:strRef>
          </c:cat>
          <c:val>
            <c:numRef>
              <c:f>Sheet1!$B$60:$B$63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2-4250-9E5C-9870B36EA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24424"/>
        <c:axId val="65726472"/>
      </c:barChart>
      <c:catAx>
        <c:axId val="6572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6472"/>
        <c:crosses val="autoZero"/>
        <c:auto val="1"/>
        <c:lblAlgn val="ctr"/>
        <c:lblOffset val="100"/>
        <c:noMultiLvlLbl val="0"/>
      </c:catAx>
      <c:valAx>
        <c:axId val="6572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51</xdr:row>
      <xdr:rowOff>57150</xdr:rowOff>
    </xdr:from>
    <xdr:to>
      <xdr:col>6</xdr:col>
      <xdr:colOff>1085850</xdr:colOff>
      <xdr:row>62</xdr:row>
      <xdr:rowOff>723900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3EF7E-4904-599D-E6AE-E6724169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C1" workbookViewId="0">
      <selection activeCell="G1" sqref="G1:G1048576"/>
    </sheetView>
  </sheetViews>
  <sheetFormatPr defaultRowHeight="15"/>
  <cols>
    <col min="1" max="1" width="18.140625" bestFit="1" customWidth="1"/>
    <col min="2" max="2" width="11.85546875" bestFit="1" customWidth="1"/>
    <col min="3" max="3" width="10.28515625" bestFit="1" customWidth="1"/>
    <col min="4" max="4" width="20" bestFit="1" customWidth="1"/>
    <col min="5" max="5" width="15" bestFit="1" customWidth="1"/>
    <col min="6" max="6" width="7.42578125" bestFit="1" customWidth="1"/>
    <col min="7" max="7" width="10.140625" bestFit="1" customWidth="1"/>
  </cols>
  <sheetData>
    <row r="1" spans="1:7" ht="18.75">
      <c r="A1" s="5" t="s">
        <v>0</v>
      </c>
      <c r="B1" s="4"/>
      <c r="C1" s="4"/>
      <c r="D1" s="4"/>
      <c r="E1" s="4"/>
      <c r="F1" s="4"/>
      <c r="G1" s="4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2001</v>
      </c>
      <c r="B3" s="1">
        <v>46082</v>
      </c>
      <c r="C3" t="s">
        <v>8</v>
      </c>
      <c r="D3" t="s">
        <v>9</v>
      </c>
      <c r="E3">
        <v>5000</v>
      </c>
      <c r="F3">
        <f>E3*0.15</f>
        <v>750</v>
      </c>
      <c r="G3" s="3" t="str">
        <f>IF(E3&gt;30000,"Large","Standard")</f>
        <v>Standard</v>
      </c>
    </row>
    <row r="4" spans="1:7">
      <c r="A4">
        <v>2002</v>
      </c>
      <c r="B4" s="1">
        <v>46083</v>
      </c>
      <c r="C4" t="s">
        <v>10</v>
      </c>
      <c r="D4" t="s">
        <v>11</v>
      </c>
      <c r="E4">
        <v>12000</v>
      </c>
      <c r="F4">
        <f t="shared" ref="F4:F53" si="0">E4*0.15</f>
        <v>1800</v>
      </c>
      <c r="G4" s="3" t="str">
        <f t="shared" ref="G4:G53" si="1">IF(E4&gt;30000,"Large","Standard")</f>
        <v>Standard</v>
      </c>
    </row>
    <row r="5" spans="1:7">
      <c r="A5">
        <v>2003</v>
      </c>
      <c r="B5" s="1">
        <v>46084</v>
      </c>
      <c r="C5" t="s">
        <v>12</v>
      </c>
      <c r="D5" t="s">
        <v>13</v>
      </c>
      <c r="E5">
        <v>35000</v>
      </c>
      <c r="F5">
        <f t="shared" si="0"/>
        <v>5250</v>
      </c>
      <c r="G5" s="3" t="str">
        <f t="shared" si="1"/>
        <v>Large</v>
      </c>
    </row>
    <row r="6" spans="1:7">
      <c r="A6">
        <v>2004</v>
      </c>
      <c r="B6" s="1">
        <v>46085</v>
      </c>
      <c r="C6" t="s">
        <v>14</v>
      </c>
      <c r="D6" s="2" t="s">
        <v>15</v>
      </c>
      <c r="E6">
        <v>8000</v>
      </c>
      <c r="F6">
        <f t="shared" si="0"/>
        <v>1200</v>
      </c>
      <c r="G6" s="3" t="str">
        <f t="shared" si="1"/>
        <v>Standard</v>
      </c>
    </row>
    <row r="7" spans="1:7">
      <c r="A7">
        <v>2005</v>
      </c>
      <c r="B7" s="1">
        <v>46086</v>
      </c>
      <c r="C7" t="s">
        <v>8</v>
      </c>
      <c r="D7" t="s">
        <v>9</v>
      </c>
      <c r="E7">
        <v>45000</v>
      </c>
      <c r="F7">
        <f t="shared" si="0"/>
        <v>6750</v>
      </c>
      <c r="G7" s="3" t="str">
        <f t="shared" si="1"/>
        <v>Large</v>
      </c>
    </row>
    <row r="8" spans="1:7">
      <c r="A8">
        <v>2006</v>
      </c>
      <c r="B8" s="1">
        <v>46087</v>
      </c>
      <c r="C8" t="s">
        <v>10</v>
      </c>
      <c r="D8" t="s">
        <v>11</v>
      </c>
      <c r="E8">
        <v>22000</v>
      </c>
      <c r="F8">
        <f t="shared" si="0"/>
        <v>3300</v>
      </c>
      <c r="G8" s="3" t="str">
        <f t="shared" si="1"/>
        <v>Standard</v>
      </c>
    </row>
    <row r="9" spans="1:7">
      <c r="A9">
        <v>2007</v>
      </c>
      <c r="B9" s="1">
        <v>46088</v>
      </c>
      <c r="C9" t="s">
        <v>12</v>
      </c>
      <c r="D9" t="s">
        <v>13</v>
      </c>
      <c r="E9">
        <v>5000</v>
      </c>
      <c r="F9">
        <f>E9*0.15</f>
        <v>750</v>
      </c>
      <c r="G9" s="3" t="str">
        <f t="shared" si="1"/>
        <v>Standard</v>
      </c>
    </row>
    <row r="10" spans="1:7">
      <c r="A10">
        <v>2008</v>
      </c>
      <c r="B10" s="1">
        <v>46089</v>
      </c>
      <c r="C10" t="s">
        <v>14</v>
      </c>
      <c r="D10" s="2" t="s">
        <v>15</v>
      </c>
      <c r="E10">
        <v>12000</v>
      </c>
      <c r="F10">
        <f t="shared" si="0"/>
        <v>1800</v>
      </c>
      <c r="G10" s="3" t="str">
        <f t="shared" si="1"/>
        <v>Standard</v>
      </c>
    </row>
    <row r="11" spans="1:7">
      <c r="A11">
        <v>2009</v>
      </c>
      <c r="B11" s="1">
        <v>46090</v>
      </c>
      <c r="C11" t="s">
        <v>8</v>
      </c>
      <c r="D11" t="s">
        <v>9</v>
      </c>
      <c r="E11">
        <v>35000</v>
      </c>
      <c r="F11">
        <f t="shared" si="0"/>
        <v>5250</v>
      </c>
      <c r="G11" s="3" t="str">
        <f t="shared" si="1"/>
        <v>Large</v>
      </c>
    </row>
    <row r="12" spans="1:7">
      <c r="A12">
        <v>2010</v>
      </c>
      <c r="B12" s="1">
        <v>46091</v>
      </c>
      <c r="C12" t="s">
        <v>10</v>
      </c>
      <c r="D12" t="s">
        <v>11</v>
      </c>
      <c r="E12">
        <v>8000</v>
      </c>
      <c r="F12">
        <f t="shared" si="0"/>
        <v>1200</v>
      </c>
      <c r="G12" s="3" t="str">
        <f t="shared" si="1"/>
        <v>Standard</v>
      </c>
    </row>
    <row r="13" spans="1:7">
      <c r="A13">
        <v>2011</v>
      </c>
      <c r="B13" s="1">
        <v>46092</v>
      </c>
      <c r="C13" t="s">
        <v>12</v>
      </c>
      <c r="D13" t="s">
        <v>13</v>
      </c>
      <c r="E13">
        <v>45000</v>
      </c>
      <c r="F13">
        <f t="shared" si="0"/>
        <v>6750</v>
      </c>
      <c r="G13" s="3" t="str">
        <f t="shared" si="1"/>
        <v>Large</v>
      </c>
    </row>
    <row r="14" spans="1:7">
      <c r="A14">
        <v>2012</v>
      </c>
      <c r="B14" s="1">
        <v>46093</v>
      </c>
      <c r="C14" t="s">
        <v>14</v>
      </c>
      <c r="D14" s="2" t="s">
        <v>15</v>
      </c>
      <c r="E14">
        <v>22000</v>
      </c>
      <c r="F14">
        <f t="shared" si="0"/>
        <v>3300</v>
      </c>
      <c r="G14" s="3" t="str">
        <f t="shared" si="1"/>
        <v>Standard</v>
      </c>
    </row>
    <row r="15" spans="1:7">
      <c r="A15">
        <v>2013</v>
      </c>
      <c r="B15" s="1">
        <v>46094</v>
      </c>
      <c r="C15" t="s">
        <v>8</v>
      </c>
      <c r="D15" t="s">
        <v>9</v>
      </c>
      <c r="E15">
        <v>5000</v>
      </c>
      <c r="F15">
        <f t="shared" si="0"/>
        <v>750</v>
      </c>
      <c r="G15" s="3" t="str">
        <f t="shared" si="1"/>
        <v>Standard</v>
      </c>
    </row>
    <row r="16" spans="1:7">
      <c r="A16">
        <v>2014</v>
      </c>
      <c r="B16" s="1">
        <v>46095</v>
      </c>
      <c r="C16" t="s">
        <v>10</v>
      </c>
      <c r="D16" t="s">
        <v>11</v>
      </c>
      <c r="E16">
        <v>12000</v>
      </c>
      <c r="F16">
        <f t="shared" si="0"/>
        <v>1800</v>
      </c>
      <c r="G16" s="3" t="str">
        <f t="shared" si="1"/>
        <v>Standard</v>
      </c>
    </row>
    <row r="17" spans="1:7">
      <c r="A17">
        <v>2015</v>
      </c>
      <c r="B17" s="1">
        <v>46096</v>
      </c>
      <c r="C17" t="s">
        <v>12</v>
      </c>
      <c r="D17" t="s">
        <v>13</v>
      </c>
      <c r="E17">
        <v>35000</v>
      </c>
      <c r="F17">
        <f t="shared" si="0"/>
        <v>5250</v>
      </c>
      <c r="G17" s="3" t="str">
        <f t="shared" si="1"/>
        <v>Large</v>
      </c>
    </row>
    <row r="18" spans="1:7">
      <c r="A18">
        <v>2016</v>
      </c>
      <c r="B18" s="1">
        <v>46097</v>
      </c>
      <c r="C18" t="s">
        <v>14</v>
      </c>
      <c r="D18" s="2" t="s">
        <v>15</v>
      </c>
      <c r="E18">
        <v>8000</v>
      </c>
      <c r="F18">
        <f t="shared" si="0"/>
        <v>1200</v>
      </c>
      <c r="G18" s="3" t="str">
        <f t="shared" si="1"/>
        <v>Standard</v>
      </c>
    </row>
    <row r="19" spans="1:7">
      <c r="A19">
        <v>2017</v>
      </c>
      <c r="B19" s="1">
        <v>46098</v>
      </c>
      <c r="C19" t="s">
        <v>8</v>
      </c>
      <c r="D19" t="s">
        <v>9</v>
      </c>
      <c r="E19">
        <v>45000</v>
      </c>
      <c r="F19">
        <f t="shared" si="0"/>
        <v>6750</v>
      </c>
      <c r="G19" s="3" t="str">
        <f t="shared" si="1"/>
        <v>Large</v>
      </c>
    </row>
    <row r="20" spans="1:7">
      <c r="A20">
        <v>2018</v>
      </c>
      <c r="B20" s="1">
        <v>46099</v>
      </c>
      <c r="C20" t="s">
        <v>10</v>
      </c>
      <c r="D20" t="s">
        <v>11</v>
      </c>
      <c r="E20">
        <v>22000</v>
      </c>
      <c r="F20">
        <f t="shared" si="0"/>
        <v>3300</v>
      </c>
      <c r="G20" s="3" t="str">
        <f t="shared" si="1"/>
        <v>Standard</v>
      </c>
    </row>
    <row r="21" spans="1:7">
      <c r="A21">
        <v>2019</v>
      </c>
      <c r="B21" s="1">
        <v>46100</v>
      </c>
      <c r="C21" t="s">
        <v>12</v>
      </c>
      <c r="D21" t="s">
        <v>13</v>
      </c>
      <c r="E21">
        <v>5000</v>
      </c>
      <c r="F21">
        <f t="shared" si="0"/>
        <v>750</v>
      </c>
      <c r="G21" s="3" t="str">
        <f t="shared" si="1"/>
        <v>Standard</v>
      </c>
    </row>
    <row r="22" spans="1:7">
      <c r="A22">
        <v>2020</v>
      </c>
      <c r="B22" s="1">
        <v>46101</v>
      </c>
      <c r="C22" t="s">
        <v>14</v>
      </c>
      <c r="D22" s="2" t="s">
        <v>15</v>
      </c>
      <c r="E22">
        <v>12000</v>
      </c>
      <c r="F22">
        <f t="shared" si="0"/>
        <v>1800</v>
      </c>
      <c r="G22" s="3" t="str">
        <f t="shared" si="1"/>
        <v>Standard</v>
      </c>
    </row>
    <row r="23" spans="1:7">
      <c r="A23">
        <v>2021</v>
      </c>
      <c r="B23" s="1">
        <v>46102</v>
      </c>
      <c r="C23" t="s">
        <v>8</v>
      </c>
      <c r="D23" t="s">
        <v>9</v>
      </c>
      <c r="E23">
        <v>35000</v>
      </c>
      <c r="F23">
        <f t="shared" si="0"/>
        <v>5250</v>
      </c>
      <c r="G23" s="3" t="str">
        <f t="shared" si="1"/>
        <v>Large</v>
      </c>
    </row>
    <row r="24" spans="1:7">
      <c r="A24">
        <v>2022</v>
      </c>
      <c r="B24" s="1">
        <v>46103</v>
      </c>
      <c r="C24" t="s">
        <v>10</v>
      </c>
      <c r="D24" t="s">
        <v>11</v>
      </c>
      <c r="E24">
        <v>8000</v>
      </c>
      <c r="F24">
        <f t="shared" si="0"/>
        <v>1200</v>
      </c>
      <c r="G24" s="3" t="str">
        <f t="shared" si="1"/>
        <v>Standard</v>
      </c>
    </row>
    <row r="25" spans="1:7">
      <c r="A25">
        <v>2023</v>
      </c>
      <c r="B25" s="1">
        <v>46104</v>
      </c>
      <c r="C25" t="s">
        <v>12</v>
      </c>
      <c r="D25" t="s">
        <v>13</v>
      </c>
      <c r="E25">
        <v>45000</v>
      </c>
      <c r="F25">
        <f t="shared" si="0"/>
        <v>6750</v>
      </c>
      <c r="G25" s="3" t="str">
        <f t="shared" si="1"/>
        <v>Large</v>
      </c>
    </row>
    <row r="26" spans="1:7">
      <c r="A26">
        <v>2024</v>
      </c>
      <c r="B26" s="1">
        <v>46105</v>
      </c>
      <c r="C26" t="s">
        <v>14</v>
      </c>
      <c r="D26" s="2" t="s">
        <v>15</v>
      </c>
      <c r="E26">
        <v>22000</v>
      </c>
      <c r="F26">
        <f t="shared" si="0"/>
        <v>3300</v>
      </c>
      <c r="G26" s="3" t="str">
        <f t="shared" si="1"/>
        <v>Standard</v>
      </c>
    </row>
    <row r="27" spans="1:7">
      <c r="A27">
        <v>2025</v>
      </c>
      <c r="B27" s="1">
        <v>46106</v>
      </c>
      <c r="C27" t="s">
        <v>8</v>
      </c>
      <c r="D27" t="s">
        <v>9</v>
      </c>
      <c r="E27">
        <v>5000</v>
      </c>
      <c r="F27">
        <f t="shared" si="0"/>
        <v>750</v>
      </c>
      <c r="G27" s="3" t="str">
        <f t="shared" si="1"/>
        <v>Standard</v>
      </c>
    </row>
    <row r="28" spans="1:7">
      <c r="A28">
        <v>2026</v>
      </c>
      <c r="B28" s="1">
        <v>46107</v>
      </c>
      <c r="C28" t="s">
        <v>10</v>
      </c>
      <c r="D28" t="s">
        <v>11</v>
      </c>
      <c r="E28">
        <v>12000</v>
      </c>
      <c r="F28">
        <f t="shared" si="0"/>
        <v>1800</v>
      </c>
      <c r="G28" s="3" t="str">
        <f t="shared" si="1"/>
        <v>Standard</v>
      </c>
    </row>
    <row r="29" spans="1:7">
      <c r="A29">
        <v>2027</v>
      </c>
      <c r="B29" s="1">
        <v>46108</v>
      </c>
      <c r="C29" t="s">
        <v>12</v>
      </c>
      <c r="D29" t="s">
        <v>13</v>
      </c>
      <c r="E29">
        <v>35000</v>
      </c>
      <c r="F29">
        <f t="shared" si="0"/>
        <v>5250</v>
      </c>
      <c r="G29" s="3" t="str">
        <f t="shared" si="1"/>
        <v>Large</v>
      </c>
    </row>
    <row r="30" spans="1:7">
      <c r="A30">
        <v>2028</v>
      </c>
      <c r="B30" s="1">
        <v>46109</v>
      </c>
      <c r="C30" t="s">
        <v>14</v>
      </c>
      <c r="D30" s="2" t="s">
        <v>15</v>
      </c>
      <c r="E30">
        <v>8000</v>
      </c>
      <c r="F30">
        <f t="shared" si="0"/>
        <v>1200</v>
      </c>
      <c r="G30" s="3" t="str">
        <f t="shared" si="1"/>
        <v>Standard</v>
      </c>
    </row>
    <row r="31" spans="1:7">
      <c r="A31">
        <v>2029</v>
      </c>
      <c r="B31" s="1">
        <v>46110</v>
      </c>
      <c r="C31" t="s">
        <v>8</v>
      </c>
      <c r="D31" t="s">
        <v>9</v>
      </c>
      <c r="E31">
        <v>45000</v>
      </c>
      <c r="F31">
        <f t="shared" si="0"/>
        <v>6750</v>
      </c>
      <c r="G31" s="3" t="str">
        <f t="shared" si="1"/>
        <v>Large</v>
      </c>
    </row>
    <row r="32" spans="1:7">
      <c r="A32">
        <v>2030</v>
      </c>
      <c r="B32" s="1">
        <v>46111</v>
      </c>
      <c r="C32" t="s">
        <v>10</v>
      </c>
      <c r="D32" t="s">
        <v>11</v>
      </c>
      <c r="E32">
        <v>22000</v>
      </c>
      <c r="F32">
        <f t="shared" si="0"/>
        <v>3300</v>
      </c>
      <c r="G32" s="3" t="str">
        <f t="shared" si="1"/>
        <v>Standard</v>
      </c>
    </row>
    <row r="33" spans="1:7">
      <c r="A33">
        <v>2031</v>
      </c>
      <c r="B33" s="1">
        <v>46112</v>
      </c>
      <c r="C33" t="s">
        <v>12</v>
      </c>
      <c r="D33" t="s">
        <v>13</v>
      </c>
      <c r="E33">
        <v>5000</v>
      </c>
      <c r="F33">
        <f t="shared" si="0"/>
        <v>750</v>
      </c>
      <c r="G33" s="3" t="str">
        <f t="shared" si="1"/>
        <v>Standard</v>
      </c>
    </row>
    <row r="34" spans="1:7">
      <c r="A34">
        <v>2032</v>
      </c>
      <c r="B34" s="1">
        <v>46113</v>
      </c>
      <c r="C34" t="s">
        <v>14</v>
      </c>
      <c r="D34" s="2" t="s">
        <v>15</v>
      </c>
      <c r="E34">
        <v>12000</v>
      </c>
      <c r="F34">
        <f t="shared" si="0"/>
        <v>1800</v>
      </c>
      <c r="G34" s="3" t="str">
        <f t="shared" si="1"/>
        <v>Standard</v>
      </c>
    </row>
    <row r="35" spans="1:7">
      <c r="A35">
        <v>2033</v>
      </c>
      <c r="B35" s="1">
        <v>46114</v>
      </c>
      <c r="C35" t="s">
        <v>8</v>
      </c>
      <c r="D35" t="s">
        <v>9</v>
      </c>
      <c r="E35">
        <v>35000</v>
      </c>
      <c r="F35">
        <f t="shared" si="0"/>
        <v>5250</v>
      </c>
      <c r="G35" s="3" t="str">
        <f t="shared" si="1"/>
        <v>Large</v>
      </c>
    </row>
    <row r="36" spans="1:7">
      <c r="A36">
        <v>2034</v>
      </c>
      <c r="B36" s="1">
        <v>46115</v>
      </c>
      <c r="C36" t="s">
        <v>10</v>
      </c>
      <c r="D36" t="s">
        <v>11</v>
      </c>
      <c r="E36">
        <v>8000</v>
      </c>
      <c r="F36">
        <f t="shared" si="0"/>
        <v>1200</v>
      </c>
      <c r="G36" s="3" t="str">
        <f t="shared" si="1"/>
        <v>Standard</v>
      </c>
    </row>
    <row r="37" spans="1:7">
      <c r="A37">
        <v>2035</v>
      </c>
      <c r="B37" s="1">
        <v>46116</v>
      </c>
      <c r="C37" t="s">
        <v>12</v>
      </c>
      <c r="D37" t="s">
        <v>13</v>
      </c>
      <c r="E37">
        <v>45000</v>
      </c>
      <c r="F37">
        <f t="shared" si="0"/>
        <v>6750</v>
      </c>
      <c r="G37" s="3" t="str">
        <f t="shared" si="1"/>
        <v>Large</v>
      </c>
    </row>
    <row r="38" spans="1:7">
      <c r="A38">
        <v>2036</v>
      </c>
      <c r="B38" s="1">
        <v>46117</v>
      </c>
      <c r="C38" t="s">
        <v>14</v>
      </c>
      <c r="D38" s="2" t="s">
        <v>15</v>
      </c>
      <c r="E38">
        <v>22000</v>
      </c>
      <c r="F38">
        <f t="shared" si="0"/>
        <v>3300</v>
      </c>
      <c r="G38" s="3" t="str">
        <f t="shared" si="1"/>
        <v>Standard</v>
      </c>
    </row>
    <row r="39" spans="1:7">
      <c r="A39">
        <v>2037</v>
      </c>
      <c r="B39" s="1">
        <v>46118</v>
      </c>
      <c r="C39" t="s">
        <v>8</v>
      </c>
      <c r="D39" t="s">
        <v>9</v>
      </c>
      <c r="E39">
        <v>5000</v>
      </c>
      <c r="F39">
        <f t="shared" si="0"/>
        <v>750</v>
      </c>
      <c r="G39" s="3" t="str">
        <f t="shared" si="1"/>
        <v>Standard</v>
      </c>
    </row>
    <row r="40" spans="1:7">
      <c r="A40">
        <v>2038</v>
      </c>
      <c r="B40" s="1">
        <v>46119</v>
      </c>
      <c r="C40" t="s">
        <v>10</v>
      </c>
      <c r="D40" t="s">
        <v>11</v>
      </c>
      <c r="E40">
        <v>12000</v>
      </c>
      <c r="F40">
        <f t="shared" si="0"/>
        <v>1800</v>
      </c>
      <c r="G40" s="3" t="str">
        <f t="shared" si="1"/>
        <v>Standard</v>
      </c>
    </row>
    <row r="41" spans="1:7">
      <c r="A41">
        <v>2039</v>
      </c>
      <c r="B41" s="1">
        <v>46120</v>
      </c>
      <c r="C41" t="s">
        <v>12</v>
      </c>
      <c r="D41" t="s">
        <v>13</v>
      </c>
      <c r="E41">
        <v>35000</v>
      </c>
      <c r="F41">
        <f t="shared" si="0"/>
        <v>5250</v>
      </c>
      <c r="G41" s="3" t="str">
        <f t="shared" si="1"/>
        <v>Large</v>
      </c>
    </row>
    <row r="42" spans="1:7">
      <c r="A42">
        <v>2040</v>
      </c>
      <c r="B42" s="1">
        <v>46121</v>
      </c>
      <c r="C42" t="s">
        <v>14</v>
      </c>
      <c r="D42" s="2" t="s">
        <v>15</v>
      </c>
      <c r="E42">
        <v>8000</v>
      </c>
      <c r="F42">
        <f t="shared" si="0"/>
        <v>1200</v>
      </c>
      <c r="G42" s="3" t="str">
        <f t="shared" si="1"/>
        <v>Standard</v>
      </c>
    </row>
    <row r="43" spans="1:7">
      <c r="A43">
        <v>2041</v>
      </c>
      <c r="B43" s="1">
        <v>46122</v>
      </c>
      <c r="C43" t="s">
        <v>8</v>
      </c>
      <c r="D43" t="s">
        <v>9</v>
      </c>
      <c r="E43">
        <v>45000</v>
      </c>
      <c r="F43">
        <f t="shared" si="0"/>
        <v>6750</v>
      </c>
      <c r="G43" s="3" t="str">
        <f t="shared" si="1"/>
        <v>Large</v>
      </c>
    </row>
    <row r="44" spans="1:7">
      <c r="A44">
        <v>2042</v>
      </c>
      <c r="B44" s="1">
        <v>46123</v>
      </c>
      <c r="C44" t="s">
        <v>10</v>
      </c>
      <c r="D44" t="s">
        <v>11</v>
      </c>
      <c r="E44">
        <v>22000</v>
      </c>
      <c r="F44">
        <f t="shared" si="0"/>
        <v>3300</v>
      </c>
      <c r="G44" s="3" t="str">
        <f t="shared" si="1"/>
        <v>Standard</v>
      </c>
    </row>
    <row r="45" spans="1:7">
      <c r="A45">
        <v>2043</v>
      </c>
      <c r="B45" s="1">
        <v>46124</v>
      </c>
      <c r="C45" t="s">
        <v>12</v>
      </c>
      <c r="D45" t="s">
        <v>13</v>
      </c>
      <c r="E45">
        <v>5000</v>
      </c>
      <c r="F45">
        <f t="shared" si="0"/>
        <v>750</v>
      </c>
      <c r="G45" s="3" t="str">
        <f t="shared" si="1"/>
        <v>Standard</v>
      </c>
    </row>
    <row r="46" spans="1:7">
      <c r="A46">
        <v>2044</v>
      </c>
      <c r="B46" s="1">
        <v>46125</v>
      </c>
      <c r="C46" t="s">
        <v>14</v>
      </c>
      <c r="D46" s="2" t="s">
        <v>15</v>
      </c>
      <c r="E46">
        <v>12000</v>
      </c>
      <c r="F46">
        <f t="shared" si="0"/>
        <v>1800</v>
      </c>
      <c r="G46" s="3" t="str">
        <f t="shared" si="1"/>
        <v>Standard</v>
      </c>
    </row>
    <row r="47" spans="1:7">
      <c r="A47">
        <v>2045</v>
      </c>
      <c r="B47" s="1">
        <v>46126</v>
      </c>
      <c r="C47" t="s">
        <v>8</v>
      </c>
      <c r="D47" t="s">
        <v>9</v>
      </c>
      <c r="E47">
        <v>35000</v>
      </c>
      <c r="F47">
        <f t="shared" si="0"/>
        <v>5250</v>
      </c>
      <c r="G47" s="3" t="str">
        <f t="shared" si="1"/>
        <v>Large</v>
      </c>
    </row>
    <row r="48" spans="1:7">
      <c r="A48">
        <v>2046</v>
      </c>
      <c r="B48" s="1">
        <v>46127</v>
      </c>
      <c r="C48" t="s">
        <v>10</v>
      </c>
      <c r="D48" t="s">
        <v>11</v>
      </c>
      <c r="E48">
        <v>8000</v>
      </c>
      <c r="F48">
        <f t="shared" si="0"/>
        <v>1200</v>
      </c>
      <c r="G48" s="3" t="str">
        <f t="shared" si="1"/>
        <v>Standard</v>
      </c>
    </row>
    <row r="49" spans="1:7">
      <c r="A49">
        <v>2047</v>
      </c>
      <c r="B49" s="1">
        <v>46128</v>
      </c>
      <c r="C49" t="s">
        <v>12</v>
      </c>
      <c r="D49" t="s">
        <v>13</v>
      </c>
      <c r="E49">
        <v>45000</v>
      </c>
      <c r="F49">
        <f t="shared" si="0"/>
        <v>6750</v>
      </c>
      <c r="G49" s="3" t="str">
        <f t="shared" si="1"/>
        <v>Large</v>
      </c>
    </row>
    <row r="50" spans="1:7">
      <c r="A50">
        <v>2048</v>
      </c>
      <c r="B50" s="1">
        <v>46129</v>
      </c>
      <c r="C50" t="s">
        <v>14</v>
      </c>
      <c r="D50" s="2" t="s">
        <v>15</v>
      </c>
      <c r="E50">
        <v>22000</v>
      </c>
      <c r="F50">
        <f t="shared" si="0"/>
        <v>3300</v>
      </c>
      <c r="G50" s="3" t="str">
        <f t="shared" si="1"/>
        <v>Standard</v>
      </c>
    </row>
    <row r="51" spans="1:7">
      <c r="A51">
        <v>2049</v>
      </c>
      <c r="B51" s="1">
        <v>46130</v>
      </c>
      <c r="C51" t="s">
        <v>8</v>
      </c>
      <c r="D51" t="s">
        <v>9</v>
      </c>
      <c r="E51">
        <v>5000</v>
      </c>
      <c r="F51">
        <f t="shared" si="0"/>
        <v>750</v>
      </c>
      <c r="G51" s="3" t="str">
        <f t="shared" si="1"/>
        <v>Standard</v>
      </c>
    </row>
    <row r="52" spans="1:7">
      <c r="A52">
        <v>2050</v>
      </c>
      <c r="B52" s="1">
        <v>46131</v>
      </c>
      <c r="C52" t="s">
        <v>10</v>
      </c>
      <c r="D52" t="s">
        <v>11</v>
      </c>
      <c r="E52">
        <v>12000</v>
      </c>
      <c r="F52">
        <f t="shared" si="0"/>
        <v>1800</v>
      </c>
      <c r="G52" s="3" t="str">
        <f t="shared" si="1"/>
        <v>Standard</v>
      </c>
    </row>
    <row r="53" spans="1:7">
      <c r="A53">
        <v>2051</v>
      </c>
      <c r="B53" s="1">
        <v>46132</v>
      </c>
      <c r="C53" t="s">
        <v>12</v>
      </c>
      <c r="D53" t="s">
        <v>13</v>
      </c>
      <c r="E53">
        <v>35000</v>
      </c>
      <c r="F53">
        <f t="shared" si="0"/>
        <v>5250</v>
      </c>
      <c r="G53" s="3" t="str">
        <f t="shared" si="1"/>
        <v>Large</v>
      </c>
    </row>
    <row r="54" spans="1:7">
      <c r="A54" t="s">
        <v>16</v>
      </c>
      <c r="E54">
        <f>SUM(E3:E53)</f>
        <v>1068000</v>
      </c>
    </row>
    <row r="55" spans="1:7">
      <c r="A55" t="s">
        <v>17</v>
      </c>
      <c r="F55">
        <f>SUM(F3:F53)</f>
        <v>160200</v>
      </c>
    </row>
    <row r="56" spans="1:7">
      <c r="A56" t="s">
        <v>18</v>
      </c>
      <c r="E56">
        <f>AVERAGE(E3:E53)</f>
        <v>20941.176470588234</v>
      </c>
    </row>
    <row r="57" spans="1:7">
      <c r="A57" t="s">
        <v>19</v>
      </c>
      <c r="G57">
        <f>COUNTIF(G3:G53,"Large")</f>
        <v>17</v>
      </c>
    </row>
    <row r="59" spans="1:7">
      <c r="A59" t="s">
        <v>20</v>
      </c>
      <c r="B59" t="s">
        <v>21</v>
      </c>
    </row>
    <row r="60" spans="1:7">
      <c r="A60" t="s">
        <v>8</v>
      </c>
      <c r="B60">
        <f>COUNTIF(C3:C52,"Hyderabad")</f>
        <v>13</v>
      </c>
    </row>
    <row r="61" spans="1:7" ht="43.5">
      <c r="A61" t="s">
        <v>10</v>
      </c>
      <c r="B61" s="3">
        <f>COUNTIF(C3:C52,"Vizag")</f>
        <v>13</v>
      </c>
    </row>
    <row r="62" spans="1:7" ht="43.5">
      <c r="A62" t="s">
        <v>12</v>
      </c>
      <c r="B62" s="3">
        <f>COUNTIF(C3:C52,"Chennai")</f>
        <v>12</v>
      </c>
    </row>
    <row r="63" spans="1:7" ht="57.75">
      <c r="A63" t="s">
        <v>22</v>
      </c>
      <c r="B63" s="3">
        <f>COUNTIF(C3:C52,"Bangalore")</f>
        <v>12</v>
      </c>
    </row>
  </sheetData>
  <mergeCells count="1">
    <mergeCell ref="A1:G1"/>
  </mergeCells>
  <conditionalFormatting sqref="F3:F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2026-05-02T14:54:34Z</dcterms:created>
  <dcterms:modified xsi:type="dcterms:W3CDTF">2026-05-02T16:17:46Z</dcterms:modified>
  <cp:category/>
  <cp:contentStatus/>
</cp:coreProperties>
</file>